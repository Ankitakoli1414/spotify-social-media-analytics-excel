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 project spotify\"/>
    </mc:Choice>
  </mc:AlternateContent>
  <xr:revisionPtr revIDLastSave="0" documentId="13_ncr:1_{6CDF4B4E-41A0-4B16-8200-B06A5CD0326E}" xr6:coauthVersionLast="47" xr6:coauthVersionMax="47" xr10:uidLastSave="{00000000-0000-0000-0000-000000000000}"/>
  <bookViews>
    <workbookView xWindow="-108" yWindow="-108" windowWidth="23256" windowHeight="12456" tabRatio="834" firstSheet="3" activeTab="8" xr2:uid="{00000000-000D-0000-FFFF-FFFF00000000}"/>
  </bookViews>
  <sheets>
    <sheet name="Posts" sheetId="1" r:id="rId1"/>
    <sheet name="Engagement Summary" sheetId="2" r:id="rId2"/>
    <sheet name="Campaign Metadata" sheetId="3" r:id="rId3"/>
    <sheet name="Engagement Analysis" sheetId="10" r:id="rId4"/>
    <sheet name="Platform Performance Analysis" sheetId="12" r:id="rId5"/>
    <sheet name=" Hashtag &amp; Content Strategy " sheetId="17" r:id="rId6"/>
    <sheet name="Campaign Effectiveness " sheetId="18" r:id="rId7"/>
    <sheet name="Follower Retention &amp; Loyalty" sheetId="20" r:id="rId8"/>
    <sheet name="Summary" sheetId="23" r:id="rId9"/>
  </sheets>
  <definedNames>
    <definedName name="_xlnm._FilterDatabase" localSheetId="0" hidden="1">Posts!$A$1:$P$302</definedName>
    <definedName name="_xlcn.WorksheetConnection_EngagementSummaryA1H3011" hidden="1">'Engagement Summary'!$G$1:$I$301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  <pivotCache cacheId="6" r:id="rId16"/>
    <pivotCache cacheId="7" r:id="rId17"/>
    <pivotCache cacheId="8" r:id="rId18"/>
    <pivotCache cacheId="9" r:id="rId1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ngagement Summary!$A$1:$H$301"/>
        </x15:modelTables>
      </x15:dataModel>
    </ext>
  </extLst>
</workbook>
</file>

<file path=xl/calcChain.xml><?xml version="1.0" encoding="utf-8"?>
<calcChain xmlns="http://schemas.openxmlformats.org/spreadsheetml/2006/main">
  <c r="A2" i="12" l="1"/>
  <c r="F2" i="20"/>
  <c r="R2" i="18"/>
  <c r="O4" i="17"/>
  <c r="K17" i="20"/>
  <c r="K16" i="20"/>
  <c r="K15" i="20"/>
  <c r="K14" i="20"/>
  <c r="K13" i="20"/>
  <c r="K12" i="20"/>
  <c r="K11" i="20"/>
  <c r="K10" i="20"/>
  <c r="K9" i="20"/>
  <c r="K8" i="20"/>
  <c r="K7" i="20"/>
  <c r="K6" i="20"/>
  <c r="K5" i="20"/>
  <c r="K4" i="20"/>
  <c r="K3" i="20"/>
  <c r="K2" i="20"/>
  <c r="E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10" i="20"/>
  <c r="B11" i="20"/>
  <c r="B12" i="20"/>
  <c r="B13" i="20"/>
  <c r="B3" i="20"/>
  <c r="B4" i="20"/>
  <c r="B5" i="20"/>
  <c r="B6" i="20"/>
  <c r="B7" i="20"/>
  <c r="B8" i="20"/>
  <c r="B9" i="20"/>
  <c r="B2" i="20"/>
  <c r="S2" i="18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L3" i="3"/>
  <c r="L4" i="3"/>
  <c r="L5" i="3"/>
  <c r="L2" i="3"/>
  <c r="L3" i="18"/>
  <c r="N3" i="18" s="1"/>
  <c r="L4" i="18"/>
  <c r="N4" i="18" s="1"/>
  <c r="L5" i="18"/>
  <c r="N5" i="18" s="1"/>
  <c r="L6" i="18"/>
  <c r="N6" i="18" s="1"/>
  <c r="L7" i="18"/>
  <c r="N7" i="18" s="1"/>
  <c r="L8" i="18"/>
  <c r="N8" i="18" s="1"/>
  <c r="L9" i="18"/>
  <c r="N9" i="18" s="1"/>
  <c r="L10" i="18"/>
  <c r="N10" i="18" s="1"/>
  <c r="L11" i="18"/>
  <c r="N11" i="18" s="1"/>
  <c r="L12" i="18"/>
  <c r="N12" i="18" s="1"/>
  <c r="L13" i="18"/>
  <c r="N13" i="18" s="1"/>
  <c r="L14" i="18"/>
  <c r="N14" i="18" s="1"/>
  <c r="L15" i="18"/>
  <c r="N15" i="18" s="1"/>
  <c r="L16" i="18"/>
  <c r="N16" i="18" s="1"/>
  <c r="L17" i="18"/>
  <c r="N17" i="18" s="1"/>
  <c r="L18" i="18"/>
  <c r="N18" i="18" s="1"/>
  <c r="L19" i="18"/>
  <c r="N19" i="18" s="1"/>
  <c r="L20" i="18"/>
  <c r="N20" i="18" s="1"/>
  <c r="L21" i="18"/>
  <c r="N21" i="18" s="1"/>
  <c r="L22" i="18"/>
  <c r="N22" i="18" s="1"/>
  <c r="L23" i="18"/>
  <c r="N23" i="18" s="1"/>
  <c r="L24" i="18"/>
  <c r="N24" i="18" s="1"/>
  <c r="L25" i="18"/>
  <c r="N25" i="18" s="1"/>
  <c r="L26" i="18"/>
  <c r="N26" i="18" s="1"/>
  <c r="L27" i="18"/>
  <c r="N27" i="18" s="1"/>
  <c r="L28" i="18"/>
  <c r="N28" i="18" s="1"/>
  <c r="L29" i="18"/>
  <c r="N29" i="18" s="1"/>
  <c r="L30" i="18"/>
  <c r="N30" i="18" s="1"/>
  <c r="L31" i="18"/>
  <c r="N31" i="18" s="1"/>
  <c r="L32" i="18"/>
  <c r="N32" i="18" s="1"/>
  <c r="L33" i="18"/>
  <c r="N33" i="18" s="1"/>
  <c r="L34" i="18"/>
  <c r="N34" i="18" s="1"/>
  <c r="L35" i="18"/>
  <c r="N35" i="18" s="1"/>
  <c r="L36" i="18"/>
  <c r="N36" i="18" s="1"/>
  <c r="L37" i="18"/>
  <c r="N37" i="18" s="1"/>
  <c r="L38" i="18"/>
  <c r="N38" i="18" s="1"/>
  <c r="L39" i="18"/>
  <c r="N39" i="18" s="1"/>
  <c r="L40" i="18"/>
  <c r="N40" i="18" s="1"/>
  <c r="L41" i="18"/>
  <c r="N41" i="18" s="1"/>
  <c r="L42" i="18"/>
  <c r="N42" i="18" s="1"/>
  <c r="L43" i="18"/>
  <c r="N43" i="18" s="1"/>
  <c r="L44" i="18"/>
  <c r="N44" i="18" s="1"/>
  <c r="L45" i="18"/>
  <c r="N45" i="18" s="1"/>
  <c r="L46" i="18"/>
  <c r="N46" i="18" s="1"/>
  <c r="L47" i="18"/>
  <c r="N47" i="18" s="1"/>
  <c r="L48" i="18"/>
  <c r="N48" i="18" s="1"/>
  <c r="L49" i="18"/>
  <c r="N49" i="18" s="1"/>
  <c r="L50" i="18"/>
  <c r="N50" i="18" s="1"/>
  <c r="L51" i="18"/>
  <c r="N51" i="18" s="1"/>
  <c r="L52" i="18"/>
  <c r="N52" i="18" s="1"/>
  <c r="L53" i="18"/>
  <c r="N53" i="18" s="1"/>
  <c r="L54" i="18"/>
  <c r="N54" i="18" s="1"/>
  <c r="L55" i="18"/>
  <c r="N55" i="18" s="1"/>
  <c r="L56" i="18"/>
  <c r="N56" i="18" s="1"/>
  <c r="L57" i="18"/>
  <c r="N57" i="18" s="1"/>
  <c r="L58" i="18"/>
  <c r="N58" i="18" s="1"/>
  <c r="L59" i="18"/>
  <c r="N59" i="18" s="1"/>
  <c r="L60" i="18"/>
  <c r="N60" i="18" s="1"/>
  <c r="L61" i="18"/>
  <c r="N61" i="18" s="1"/>
  <c r="L62" i="18"/>
  <c r="N62" i="18" s="1"/>
  <c r="L63" i="18"/>
  <c r="N63" i="18" s="1"/>
  <c r="L64" i="18"/>
  <c r="N64" i="18" s="1"/>
  <c r="L65" i="18"/>
  <c r="N65" i="18" s="1"/>
  <c r="L66" i="18"/>
  <c r="N66" i="18" s="1"/>
  <c r="L67" i="18"/>
  <c r="N67" i="18" s="1"/>
  <c r="L68" i="18"/>
  <c r="N68" i="18" s="1"/>
  <c r="L69" i="18"/>
  <c r="N69" i="18" s="1"/>
  <c r="L70" i="18"/>
  <c r="N70" i="18" s="1"/>
  <c r="L71" i="18"/>
  <c r="N71" i="18" s="1"/>
  <c r="L72" i="18"/>
  <c r="N72" i="18" s="1"/>
  <c r="L73" i="18"/>
  <c r="N73" i="18" s="1"/>
  <c r="L74" i="18"/>
  <c r="N74" i="18" s="1"/>
  <c r="L75" i="18"/>
  <c r="N75" i="18" s="1"/>
  <c r="L76" i="18"/>
  <c r="N76" i="18" s="1"/>
  <c r="L77" i="18"/>
  <c r="N77" i="18" s="1"/>
  <c r="L78" i="18"/>
  <c r="N78" i="18" s="1"/>
  <c r="L79" i="18"/>
  <c r="N79" i="18" s="1"/>
  <c r="L80" i="18"/>
  <c r="N80" i="18" s="1"/>
  <c r="L81" i="18"/>
  <c r="N81" i="18" s="1"/>
  <c r="L82" i="18"/>
  <c r="N82" i="18" s="1"/>
  <c r="L83" i="18"/>
  <c r="N83" i="18" s="1"/>
  <c r="L84" i="18"/>
  <c r="N84" i="18" s="1"/>
  <c r="L85" i="18"/>
  <c r="N85" i="18" s="1"/>
  <c r="L86" i="18"/>
  <c r="N86" i="18" s="1"/>
  <c r="L87" i="18"/>
  <c r="N87" i="18" s="1"/>
  <c r="L88" i="18"/>
  <c r="N88" i="18" s="1"/>
  <c r="L89" i="18"/>
  <c r="N89" i="18" s="1"/>
  <c r="L90" i="18"/>
  <c r="N90" i="18" s="1"/>
  <c r="L91" i="18"/>
  <c r="N91" i="18" s="1"/>
  <c r="L92" i="18"/>
  <c r="N92" i="18" s="1"/>
  <c r="L93" i="18"/>
  <c r="N93" i="18" s="1"/>
  <c r="L94" i="18"/>
  <c r="N94" i="18" s="1"/>
  <c r="L95" i="18"/>
  <c r="N95" i="18" s="1"/>
  <c r="L96" i="18"/>
  <c r="N96" i="18" s="1"/>
  <c r="L97" i="18"/>
  <c r="N97" i="18" s="1"/>
  <c r="L98" i="18"/>
  <c r="N98" i="18" s="1"/>
  <c r="L99" i="18"/>
  <c r="N99" i="18" s="1"/>
  <c r="L100" i="18"/>
  <c r="N100" i="18" s="1"/>
  <c r="L101" i="18"/>
  <c r="N101" i="18" s="1"/>
  <c r="L102" i="18"/>
  <c r="N102" i="18" s="1"/>
  <c r="L103" i="18"/>
  <c r="N103" i="18" s="1"/>
  <c r="L104" i="18"/>
  <c r="N104" i="18" s="1"/>
  <c r="L105" i="18"/>
  <c r="N105" i="18" s="1"/>
  <c r="L106" i="18"/>
  <c r="N106" i="18" s="1"/>
  <c r="L107" i="18"/>
  <c r="N107" i="18" s="1"/>
  <c r="L108" i="18"/>
  <c r="N108" i="18" s="1"/>
  <c r="L109" i="18"/>
  <c r="N109" i="18" s="1"/>
  <c r="L110" i="18"/>
  <c r="N110" i="18" s="1"/>
  <c r="L111" i="18"/>
  <c r="N111" i="18" s="1"/>
  <c r="L112" i="18"/>
  <c r="N112" i="18" s="1"/>
  <c r="L113" i="18"/>
  <c r="N113" i="18" s="1"/>
  <c r="L114" i="18"/>
  <c r="N114" i="18" s="1"/>
  <c r="L115" i="18"/>
  <c r="N115" i="18" s="1"/>
  <c r="L116" i="18"/>
  <c r="N116" i="18" s="1"/>
  <c r="L117" i="18"/>
  <c r="N117" i="18" s="1"/>
  <c r="L118" i="18"/>
  <c r="N118" i="18" s="1"/>
  <c r="L119" i="18"/>
  <c r="N119" i="18" s="1"/>
  <c r="L120" i="18"/>
  <c r="N120" i="18" s="1"/>
  <c r="L121" i="18"/>
  <c r="N121" i="18" s="1"/>
  <c r="L122" i="18"/>
  <c r="N122" i="18" s="1"/>
  <c r="L123" i="18"/>
  <c r="N123" i="18" s="1"/>
  <c r="L124" i="18"/>
  <c r="N124" i="18" s="1"/>
  <c r="L125" i="18"/>
  <c r="N125" i="18" s="1"/>
  <c r="L126" i="18"/>
  <c r="N126" i="18" s="1"/>
  <c r="L127" i="18"/>
  <c r="N127" i="18" s="1"/>
  <c r="L128" i="18"/>
  <c r="N128" i="18" s="1"/>
  <c r="L129" i="18"/>
  <c r="N129" i="18" s="1"/>
  <c r="L130" i="18"/>
  <c r="N130" i="18" s="1"/>
  <c r="L131" i="18"/>
  <c r="N131" i="18" s="1"/>
  <c r="L132" i="18"/>
  <c r="N132" i="18" s="1"/>
  <c r="L133" i="18"/>
  <c r="N133" i="18" s="1"/>
  <c r="L134" i="18"/>
  <c r="N134" i="18" s="1"/>
  <c r="L135" i="18"/>
  <c r="N135" i="18" s="1"/>
  <c r="L136" i="18"/>
  <c r="N136" i="18" s="1"/>
  <c r="L137" i="18"/>
  <c r="N137" i="18" s="1"/>
  <c r="L138" i="18"/>
  <c r="N138" i="18" s="1"/>
  <c r="L139" i="18"/>
  <c r="N139" i="18" s="1"/>
  <c r="L140" i="18"/>
  <c r="N140" i="18" s="1"/>
  <c r="L141" i="18"/>
  <c r="N141" i="18" s="1"/>
  <c r="L142" i="18"/>
  <c r="N142" i="18" s="1"/>
  <c r="L143" i="18"/>
  <c r="N143" i="18" s="1"/>
  <c r="L144" i="18"/>
  <c r="N144" i="18" s="1"/>
  <c r="L145" i="18"/>
  <c r="N145" i="18" s="1"/>
  <c r="L146" i="18"/>
  <c r="N146" i="18" s="1"/>
  <c r="L147" i="18"/>
  <c r="N147" i="18" s="1"/>
  <c r="L148" i="18"/>
  <c r="N148" i="18" s="1"/>
  <c r="L149" i="18"/>
  <c r="N149" i="18" s="1"/>
  <c r="L150" i="18"/>
  <c r="N150" i="18" s="1"/>
  <c r="L151" i="18"/>
  <c r="N151" i="18" s="1"/>
  <c r="L152" i="18"/>
  <c r="N152" i="18" s="1"/>
  <c r="L153" i="18"/>
  <c r="N153" i="18" s="1"/>
  <c r="L154" i="18"/>
  <c r="N154" i="18" s="1"/>
  <c r="L155" i="18"/>
  <c r="N155" i="18" s="1"/>
  <c r="L156" i="18"/>
  <c r="N156" i="18" s="1"/>
  <c r="L157" i="18"/>
  <c r="N157" i="18" s="1"/>
  <c r="L158" i="18"/>
  <c r="N158" i="18" s="1"/>
  <c r="L159" i="18"/>
  <c r="N159" i="18" s="1"/>
  <c r="L160" i="18"/>
  <c r="N160" i="18" s="1"/>
  <c r="L161" i="18"/>
  <c r="N161" i="18" s="1"/>
  <c r="L162" i="18"/>
  <c r="N162" i="18" s="1"/>
  <c r="L163" i="18"/>
  <c r="N163" i="18" s="1"/>
  <c r="L164" i="18"/>
  <c r="N164" i="18" s="1"/>
  <c r="L165" i="18"/>
  <c r="N165" i="18" s="1"/>
  <c r="L166" i="18"/>
  <c r="N166" i="18" s="1"/>
  <c r="L167" i="18"/>
  <c r="N167" i="18" s="1"/>
  <c r="L168" i="18"/>
  <c r="N168" i="18" s="1"/>
  <c r="L169" i="18"/>
  <c r="N169" i="18" s="1"/>
  <c r="L170" i="18"/>
  <c r="N170" i="18" s="1"/>
  <c r="L171" i="18"/>
  <c r="N171" i="18" s="1"/>
  <c r="L172" i="18"/>
  <c r="N172" i="18" s="1"/>
  <c r="L173" i="18"/>
  <c r="N173" i="18" s="1"/>
  <c r="L174" i="18"/>
  <c r="N174" i="18" s="1"/>
  <c r="L175" i="18"/>
  <c r="N175" i="18" s="1"/>
  <c r="L176" i="18"/>
  <c r="N176" i="18" s="1"/>
  <c r="L177" i="18"/>
  <c r="N177" i="18" s="1"/>
  <c r="L178" i="18"/>
  <c r="N178" i="18" s="1"/>
  <c r="L179" i="18"/>
  <c r="N179" i="18" s="1"/>
  <c r="L180" i="18"/>
  <c r="N180" i="18" s="1"/>
  <c r="L181" i="18"/>
  <c r="N181" i="18" s="1"/>
  <c r="L182" i="18"/>
  <c r="N182" i="18" s="1"/>
  <c r="L183" i="18"/>
  <c r="N183" i="18" s="1"/>
  <c r="L184" i="18"/>
  <c r="N184" i="18" s="1"/>
  <c r="L185" i="18"/>
  <c r="N185" i="18" s="1"/>
  <c r="L186" i="18"/>
  <c r="N186" i="18" s="1"/>
  <c r="L187" i="18"/>
  <c r="N187" i="18" s="1"/>
  <c r="L188" i="18"/>
  <c r="N188" i="18" s="1"/>
  <c r="L189" i="18"/>
  <c r="N189" i="18" s="1"/>
  <c r="L190" i="18"/>
  <c r="N190" i="18" s="1"/>
  <c r="L191" i="18"/>
  <c r="N191" i="18" s="1"/>
  <c r="L192" i="18"/>
  <c r="N192" i="18" s="1"/>
  <c r="L193" i="18"/>
  <c r="N193" i="18" s="1"/>
  <c r="L194" i="18"/>
  <c r="N194" i="18" s="1"/>
  <c r="L195" i="18"/>
  <c r="N195" i="18" s="1"/>
  <c r="L196" i="18"/>
  <c r="N196" i="18" s="1"/>
  <c r="L197" i="18"/>
  <c r="N197" i="18" s="1"/>
  <c r="L198" i="18"/>
  <c r="N198" i="18" s="1"/>
  <c r="L199" i="18"/>
  <c r="N199" i="18" s="1"/>
  <c r="L200" i="18"/>
  <c r="N200" i="18" s="1"/>
  <c r="L201" i="18"/>
  <c r="N201" i="18" s="1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2" i="18"/>
  <c r="N2" i="18" s="1"/>
  <c r="P20" i="1"/>
  <c r="P280" i="1"/>
  <c r="P272" i="1"/>
  <c r="P260" i="1"/>
  <c r="P255" i="1"/>
  <c r="P199" i="1"/>
  <c r="P197" i="1"/>
  <c r="P191" i="1"/>
  <c r="P149" i="1"/>
  <c r="P107" i="1"/>
  <c r="P79" i="1"/>
  <c r="P65" i="1"/>
  <c r="P179" i="1"/>
  <c r="P143" i="1"/>
  <c r="P270" i="1"/>
  <c r="G2" i="17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2" i="18"/>
  <c r="O5" i="17"/>
  <c r="O3" i="17"/>
  <c r="L5" i="12"/>
  <c r="J5" i="12"/>
  <c r="L6" i="12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4" i="1"/>
  <c r="P145" i="1"/>
  <c r="P146" i="1"/>
  <c r="P147" i="1"/>
  <c r="P148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80" i="1"/>
  <c r="P181" i="1"/>
  <c r="P182" i="1"/>
  <c r="P183" i="1"/>
  <c r="P184" i="1"/>
  <c r="P185" i="1"/>
  <c r="P186" i="1"/>
  <c r="P187" i="1"/>
  <c r="P188" i="1"/>
  <c r="P189" i="1"/>
  <c r="P190" i="1"/>
  <c r="P192" i="1"/>
  <c r="P193" i="1"/>
  <c r="P194" i="1"/>
  <c r="P195" i="1"/>
  <c r="P196" i="1"/>
  <c r="P198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6" i="1"/>
  <c r="P257" i="1"/>
  <c r="P258" i="1"/>
  <c r="P259" i="1"/>
  <c r="P261" i="1"/>
  <c r="P262" i="1"/>
  <c r="P263" i="1"/>
  <c r="P264" i="1"/>
  <c r="P265" i="1"/>
  <c r="P266" i="1"/>
  <c r="P267" i="1"/>
  <c r="P268" i="1"/>
  <c r="P269" i="1"/>
  <c r="P271" i="1"/>
  <c r="P273" i="1"/>
  <c r="P274" i="1"/>
  <c r="P275" i="1"/>
  <c r="P276" i="1"/>
  <c r="P277" i="1"/>
  <c r="P278" i="1"/>
  <c r="P279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AB15" i="10"/>
  <c r="X16" i="10"/>
  <c r="X15" i="10"/>
  <c r="X14" i="10"/>
  <c r="X13" i="10"/>
  <c r="X12" i="10"/>
  <c r="X11" i="10"/>
  <c r="X10" i="10"/>
  <c r="X9" i="10"/>
  <c r="X8" i="10"/>
  <c r="X7" i="10"/>
  <c r="X6" i="10"/>
  <c r="X5" i="10"/>
  <c r="X4" i="10"/>
  <c r="X3" i="10"/>
  <c r="X2" i="10"/>
  <c r="Y2" i="10" s="1"/>
  <c r="A301" i="10"/>
  <c r="B301" i="10" s="1"/>
  <c r="A300" i="10"/>
  <c r="B300" i="10" s="1"/>
  <c r="A299" i="10"/>
  <c r="B299" i="10" s="1"/>
  <c r="A298" i="10"/>
  <c r="B298" i="10" s="1"/>
  <c r="A297" i="10"/>
  <c r="B297" i="10" s="1"/>
  <c r="A296" i="10"/>
  <c r="B296" i="10" s="1"/>
  <c r="A295" i="10"/>
  <c r="B295" i="10" s="1"/>
  <c r="A294" i="10"/>
  <c r="B294" i="10" s="1"/>
  <c r="A293" i="10"/>
  <c r="B293" i="10" s="1"/>
  <c r="A292" i="10"/>
  <c r="B292" i="10" s="1"/>
  <c r="A291" i="10"/>
  <c r="B291" i="10" s="1"/>
  <c r="A290" i="10"/>
  <c r="B290" i="10" s="1"/>
  <c r="A289" i="10"/>
  <c r="B289" i="10" s="1"/>
  <c r="A288" i="10"/>
  <c r="B288" i="10" s="1"/>
  <c r="A287" i="10"/>
  <c r="B287" i="10" s="1"/>
  <c r="A286" i="10"/>
  <c r="B286" i="10" s="1"/>
  <c r="A285" i="10"/>
  <c r="B285" i="10" s="1"/>
  <c r="A284" i="10"/>
  <c r="B284" i="10" s="1"/>
  <c r="A283" i="10"/>
  <c r="B283" i="10" s="1"/>
  <c r="A282" i="10"/>
  <c r="B282" i="10" s="1"/>
  <c r="A281" i="10"/>
  <c r="B281" i="10" s="1"/>
  <c r="A280" i="10"/>
  <c r="B280" i="10" s="1"/>
  <c r="A279" i="10"/>
  <c r="B279" i="10" s="1"/>
  <c r="A278" i="10"/>
  <c r="B278" i="10" s="1"/>
  <c r="A277" i="10"/>
  <c r="B277" i="10" s="1"/>
  <c r="A276" i="10"/>
  <c r="B276" i="10" s="1"/>
  <c r="A275" i="10"/>
  <c r="B275" i="10" s="1"/>
  <c r="A274" i="10"/>
  <c r="B274" i="10" s="1"/>
  <c r="A273" i="10"/>
  <c r="B273" i="10" s="1"/>
  <c r="A272" i="10"/>
  <c r="B272" i="10" s="1"/>
  <c r="A271" i="10"/>
  <c r="B271" i="10" s="1"/>
  <c r="A270" i="10"/>
  <c r="B270" i="10" s="1"/>
  <c r="A269" i="10"/>
  <c r="B269" i="10" s="1"/>
  <c r="A268" i="10"/>
  <c r="B268" i="10" s="1"/>
  <c r="A267" i="10"/>
  <c r="B267" i="10" s="1"/>
  <c r="A266" i="10"/>
  <c r="B266" i="10" s="1"/>
  <c r="A265" i="10"/>
  <c r="B265" i="10" s="1"/>
  <c r="A264" i="10"/>
  <c r="B264" i="10" s="1"/>
  <c r="A263" i="10"/>
  <c r="B263" i="10" s="1"/>
  <c r="A262" i="10"/>
  <c r="B262" i="10" s="1"/>
  <c r="A261" i="10"/>
  <c r="B261" i="10" s="1"/>
  <c r="A260" i="10"/>
  <c r="B260" i="10" s="1"/>
  <c r="A259" i="10"/>
  <c r="B259" i="10" s="1"/>
  <c r="A258" i="10"/>
  <c r="B258" i="10" s="1"/>
  <c r="A257" i="10"/>
  <c r="B257" i="10" s="1"/>
  <c r="A256" i="10"/>
  <c r="B256" i="10" s="1"/>
  <c r="A255" i="10"/>
  <c r="B255" i="10" s="1"/>
  <c r="A254" i="10"/>
  <c r="B254" i="10" s="1"/>
  <c r="A253" i="10"/>
  <c r="B253" i="10" s="1"/>
  <c r="A252" i="10"/>
  <c r="B252" i="10" s="1"/>
  <c r="A251" i="10"/>
  <c r="B251" i="10" s="1"/>
  <c r="A250" i="10"/>
  <c r="B250" i="10" s="1"/>
  <c r="A249" i="10"/>
  <c r="B249" i="10" s="1"/>
  <c r="A248" i="10"/>
  <c r="B248" i="10" s="1"/>
  <c r="A247" i="10"/>
  <c r="B247" i="10" s="1"/>
  <c r="A246" i="10"/>
  <c r="B246" i="10" s="1"/>
  <c r="A245" i="10"/>
  <c r="B245" i="10" s="1"/>
  <c r="A244" i="10"/>
  <c r="B244" i="10" s="1"/>
  <c r="A243" i="10"/>
  <c r="B243" i="10" s="1"/>
  <c r="A242" i="10"/>
  <c r="B242" i="10" s="1"/>
  <c r="A241" i="10"/>
  <c r="B241" i="10" s="1"/>
  <c r="A240" i="10"/>
  <c r="B240" i="10" s="1"/>
  <c r="A239" i="10"/>
  <c r="B239" i="10" s="1"/>
  <c r="A238" i="10"/>
  <c r="B238" i="10" s="1"/>
  <c r="A237" i="10"/>
  <c r="B237" i="10" s="1"/>
  <c r="A236" i="10"/>
  <c r="B236" i="10" s="1"/>
  <c r="A235" i="10"/>
  <c r="B235" i="10" s="1"/>
  <c r="A234" i="10"/>
  <c r="B234" i="10" s="1"/>
  <c r="A233" i="10"/>
  <c r="B233" i="10" s="1"/>
  <c r="A232" i="10"/>
  <c r="B232" i="10" s="1"/>
  <c r="A231" i="10"/>
  <c r="B231" i="10" s="1"/>
  <c r="A230" i="10"/>
  <c r="B230" i="10" s="1"/>
  <c r="A229" i="10"/>
  <c r="B229" i="10" s="1"/>
  <c r="A228" i="10"/>
  <c r="B228" i="10" s="1"/>
  <c r="A227" i="10"/>
  <c r="B227" i="10" s="1"/>
  <c r="A226" i="10"/>
  <c r="B226" i="10" s="1"/>
  <c r="A225" i="10"/>
  <c r="B225" i="10" s="1"/>
  <c r="A224" i="10"/>
  <c r="B224" i="10" s="1"/>
  <c r="A223" i="10"/>
  <c r="B223" i="10" s="1"/>
  <c r="A222" i="10"/>
  <c r="B222" i="10" s="1"/>
  <c r="A221" i="10"/>
  <c r="B221" i="10" s="1"/>
  <c r="A220" i="10"/>
  <c r="B220" i="10" s="1"/>
  <c r="A219" i="10"/>
  <c r="B219" i="10" s="1"/>
  <c r="A218" i="10"/>
  <c r="B218" i="10" s="1"/>
  <c r="A217" i="10"/>
  <c r="B217" i="10" s="1"/>
  <c r="A216" i="10"/>
  <c r="B216" i="10" s="1"/>
  <c r="A215" i="10"/>
  <c r="B215" i="10" s="1"/>
  <c r="A214" i="10"/>
  <c r="B214" i="10" s="1"/>
  <c r="A213" i="10"/>
  <c r="B213" i="10" s="1"/>
  <c r="A212" i="10"/>
  <c r="B212" i="10" s="1"/>
  <c r="A211" i="10"/>
  <c r="B211" i="10" s="1"/>
  <c r="A210" i="10"/>
  <c r="B210" i="10" s="1"/>
  <c r="A209" i="10"/>
  <c r="B209" i="10" s="1"/>
  <c r="A208" i="10"/>
  <c r="B208" i="10" s="1"/>
  <c r="A207" i="10"/>
  <c r="B207" i="10" s="1"/>
  <c r="A206" i="10"/>
  <c r="B206" i="10" s="1"/>
  <c r="A205" i="10"/>
  <c r="B205" i="10" s="1"/>
  <c r="A204" i="10"/>
  <c r="B204" i="10" s="1"/>
  <c r="A203" i="10"/>
  <c r="B203" i="10" s="1"/>
  <c r="A202" i="10"/>
  <c r="B202" i="10" s="1"/>
  <c r="A201" i="10"/>
  <c r="B201" i="10" s="1"/>
  <c r="A200" i="10"/>
  <c r="B200" i="10" s="1"/>
  <c r="A199" i="10"/>
  <c r="B199" i="10" s="1"/>
  <c r="A198" i="10"/>
  <c r="B198" i="10" s="1"/>
  <c r="A197" i="10"/>
  <c r="B197" i="10" s="1"/>
  <c r="A196" i="10"/>
  <c r="B196" i="10" s="1"/>
  <c r="A195" i="10"/>
  <c r="B195" i="10" s="1"/>
  <c r="A194" i="10"/>
  <c r="B194" i="10" s="1"/>
  <c r="A193" i="10"/>
  <c r="B193" i="10" s="1"/>
  <c r="A192" i="10"/>
  <c r="B192" i="10" s="1"/>
  <c r="A191" i="10"/>
  <c r="B191" i="10" s="1"/>
  <c r="A190" i="10"/>
  <c r="B190" i="10" s="1"/>
  <c r="A189" i="10"/>
  <c r="B189" i="10" s="1"/>
  <c r="A188" i="10"/>
  <c r="B188" i="10" s="1"/>
  <c r="A187" i="10"/>
  <c r="B187" i="10" s="1"/>
  <c r="A186" i="10"/>
  <c r="B186" i="10" s="1"/>
  <c r="A185" i="10"/>
  <c r="B185" i="10" s="1"/>
  <c r="A184" i="10"/>
  <c r="B184" i="10" s="1"/>
  <c r="A183" i="10"/>
  <c r="B183" i="10" s="1"/>
  <c r="A182" i="10"/>
  <c r="B182" i="10" s="1"/>
  <c r="A181" i="10"/>
  <c r="B181" i="10" s="1"/>
  <c r="A180" i="10"/>
  <c r="B180" i="10" s="1"/>
  <c r="A179" i="10"/>
  <c r="B179" i="10" s="1"/>
  <c r="A178" i="10"/>
  <c r="B178" i="10" s="1"/>
  <c r="A177" i="10"/>
  <c r="B177" i="10" s="1"/>
  <c r="A176" i="10"/>
  <c r="B176" i="10" s="1"/>
  <c r="A175" i="10"/>
  <c r="B175" i="10" s="1"/>
  <c r="A174" i="10"/>
  <c r="B174" i="10" s="1"/>
  <c r="A173" i="10"/>
  <c r="B173" i="10" s="1"/>
  <c r="A172" i="10"/>
  <c r="B172" i="10" s="1"/>
  <c r="A171" i="10"/>
  <c r="B171" i="10" s="1"/>
  <c r="A170" i="10"/>
  <c r="B170" i="10" s="1"/>
  <c r="A169" i="10"/>
  <c r="B169" i="10" s="1"/>
  <c r="A168" i="10"/>
  <c r="B168" i="10" s="1"/>
  <c r="A167" i="10"/>
  <c r="B167" i="10" s="1"/>
  <c r="A166" i="10"/>
  <c r="B166" i="10" s="1"/>
  <c r="A165" i="10"/>
  <c r="B165" i="10" s="1"/>
  <c r="A164" i="10"/>
  <c r="B164" i="10" s="1"/>
  <c r="A163" i="10"/>
  <c r="B163" i="10" s="1"/>
  <c r="A162" i="10"/>
  <c r="B162" i="10" s="1"/>
  <c r="A161" i="10"/>
  <c r="B161" i="10" s="1"/>
  <c r="A160" i="10"/>
  <c r="B160" i="10" s="1"/>
  <c r="A159" i="10"/>
  <c r="B159" i="10" s="1"/>
  <c r="A158" i="10"/>
  <c r="B158" i="10" s="1"/>
  <c r="A157" i="10"/>
  <c r="B157" i="10" s="1"/>
  <c r="A156" i="10"/>
  <c r="B156" i="10" s="1"/>
  <c r="A155" i="10"/>
  <c r="B155" i="10" s="1"/>
  <c r="A154" i="10"/>
  <c r="B154" i="10" s="1"/>
  <c r="A153" i="10"/>
  <c r="B153" i="10" s="1"/>
  <c r="A152" i="10"/>
  <c r="B152" i="10" s="1"/>
  <c r="A151" i="10"/>
  <c r="B151" i="10" s="1"/>
  <c r="A150" i="10"/>
  <c r="B150" i="10" s="1"/>
  <c r="A149" i="10"/>
  <c r="B149" i="10" s="1"/>
  <c r="A148" i="10"/>
  <c r="B148" i="10" s="1"/>
  <c r="A147" i="10"/>
  <c r="B147" i="10" s="1"/>
  <c r="A146" i="10"/>
  <c r="B146" i="10" s="1"/>
  <c r="A145" i="10"/>
  <c r="B145" i="10" s="1"/>
  <c r="A144" i="10"/>
  <c r="B144" i="10" s="1"/>
  <c r="A143" i="10"/>
  <c r="B143" i="10" s="1"/>
  <c r="A142" i="10"/>
  <c r="B142" i="10" s="1"/>
  <c r="A141" i="10"/>
  <c r="B141" i="10" s="1"/>
  <c r="A140" i="10"/>
  <c r="B140" i="10" s="1"/>
  <c r="A139" i="10"/>
  <c r="B139" i="10" s="1"/>
  <c r="A138" i="10"/>
  <c r="B138" i="10" s="1"/>
  <c r="A137" i="10"/>
  <c r="B137" i="10" s="1"/>
  <c r="A136" i="10"/>
  <c r="B136" i="10" s="1"/>
  <c r="A135" i="10"/>
  <c r="B135" i="10" s="1"/>
  <c r="A134" i="10"/>
  <c r="B134" i="10" s="1"/>
  <c r="A133" i="10"/>
  <c r="B133" i="10" s="1"/>
  <c r="A132" i="10"/>
  <c r="B132" i="10" s="1"/>
  <c r="A131" i="10"/>
  <c r="B131" i="10" s="1"/>
  <c r="A130" i="10"/>
  <c r="B130" i="10" s="1"/>
  <c r="A129" i="10"/>
  <c r="B129" i="10" s="1"/>
  <c r="A128" i="10"/>
  <c r="B128" i="10" s="1"/>
  <c r="A127" i="10"/>
  <c r="B127" i="10" s="1"/>
  <c r="A126" i="10"/>
  <c r="B126" i="10" s="1"/>
  <c r="A125" i="10"/>
  <c r="B125" i="10" s="1"/>
  <c r="A124" i="10"/>
  <c r="B124" i="10" s="1"/>
  <c r="A123" i="10"/>
  <c r="B123" i="10" s="1"/>
  <c r="A122" i="10"/>
  <c r="B122" i="10" s="1"/>
  <c r="A121" i="10"/>
  <c r="B121" i="10" s="1"/>
  <c r="A120" i="10"/>
  <c r="B120" i="10" s="1"/>
  <c r="A119" i="10"/>
  <c r="B119" i="10" s="1"/>
  <c r="A118" i="10"/>
  <c r="B118" i="10" s="1"/>
  <c r="A117" i="10"/>
  <c r="B117" i="10" s="1"/>
  <c r="A116" i="10"/>
  <c r="B116" i="10" s="1"/>
  <c r="A115" i="10"/>
  <c r="B115" i="10" s="1"/>
  <c r="A114" i="10"/>
  <c r="B114" i="10" s="1"/>
  <c r="A113" i="10"/>
  <c r="B113" i="10" s="1"/>
  <c r="A112" i="10"/>
  <c r="B112" i="10" s="1"/>
  <c r="A111" i="10"/>
  <c r="B111" i="10" s="1"/>
  <c r="A110" i="10"/>
  <c r="B110" i="10" s="1"/>
  <c r="A109" i="10"/>
  <c r="B109" i="10" s="1"/>
  <c r="A108" i="10"/>
  <c r="B108" i="10" s="1"/>
  <c r="A107" i="10"/>
  <c r="B107" i="10" s="1"/>
  <c r="A106" i="10"/>
  <c r="B106" i="10" s="1"/>
  <c r="A105" i="10"/>
  <c r="B105" i="10" s="1"/>
  <c r="A104" i="10"/>
  <c r="B104" i="10" s="1"/>
  <c r="A103" i="10"/>
  <c r="B103" i="10" s="1"/>
  <c r="A102" i="10"/>
  <c r="B102" i="10" s="1"/>
  <c r="A101" i="10"/>
  <c r="B101" i="10" s="1"/>
  <c r="A100" i="10"/>
  <c r="B100" i="10" s="1"/>
  <c r="A99" i="10"/>
  <c r="B99" i="10" s="1"/>
  <c r="A98" i="10"/>
  <c r="B98" i="10" s="1"/>
  <c r="A97" i="10"/>
  <c r="B97" i="10" s="1"/>
  <c r="A96" i="10"/>
  <c r="B96" i="10" s="1"/>
  <c r="A95" i="10"/>
  <c r="B95" i="10" s="1"/>
  <c r="A94" i="10"/>
  <c r="B94" i="10" s="1"/>
  <c r="A93" i="10"/>
  <c r="B93" i="10" s="1"/>
  <c r="A92" i="10"/>
  <c r="B92" i="10" s="1"/>
  <c r="A91" i="10"/>
  <c r="B91" i="10" s="1"/>
  <c r="A90" i="10"/>
  <c r="B90" i="10" s="1"/>
  <c r="A89" i="10"/>
  <c r="B89" i="10" s="1"/>
  <c r="A88" i="10"/>
  <c r="B88" i="10" s="1"/>
  <c r="A87" i="10"/>
  <c r="B87" i="10" s="1"/>
  <c r="A86" i="10"/>
  <c r="B86" i="10" s="1"/>
  <c r="A85" i="10"/>
  <c r="B85" i="10" s="1"/>
  <c r="A84" i="10"/>
  <c r="B84" i="10" s="1"/>
  <c r="A83" i="10"/>
  <c r="B83" i="10" s="1"/>
  <c r="A82" i="10"/>
  <c r="B82" i="10" s="1"/>
  <c r="A81" i="10"/>
  <c r="B81" i="10" s="1"/>
  <c r="A80" i="10"/>
  <c r="B80" i="10" s="1"/>
  <c r="A79" i="10"/>
  <c r="B79" i="10" s="1"/>
  <c r="A78" i="10"/>
  <c r="B78" i="10" s="1"/>
  <c r="A77" i="10"/>
  <c r="B77" i="10" s="1"/>
  <c r="A76" i="10"/>
  <c r="B76" i="10" s="1"/>
  <c r="A75" i="10"/>
  <c r="B75" i="10" s="1"/>
  <c r="A74" i="10"/>
  <c r="B74" i="10" s="1"/>
  <c r="A73" i="10"/>
  <c r="B73" i="10" s="1"/>
  <c r="A72" i="10"/>
  <c r="B72" i="10" s="1"/>
  <c r="A71" i="10"/>
  <c r="B71" i="10" s="1"/>
  <c r="A70" i="10"/>
  <c r="B70" i="10" s="1"/>
  <c r="A69" i="10"/>
  <c r="B69" i="10" s="1"/>
  <c r="A68" i="10"/>
  <c r="B68" i="10" s="1"/>
  <c r="A67" i="10"/>
  <c r="B67" i="10" s="1"/>
  <c r="A66" i="10"/>
  <c r="B66" i="10" s="1"/>
  <c r="A65" i="10"/>
  <c r="B65" i="10" s="1"/>
  <c r="A64" i="10"/>
  <c r="B64" i="10" s="1"/>
  <c r="A63" i="10"/>
  <c r="B63" i="10" s="1"/>
  <c r="A62" i="10"/>
  <c r="B62" i="10" s="1"/>
  <c r="A61" i="10"/>
  <c r="B61" i="10" s="1"/>
  <c r="A60" i="10"/>
  <c r="B60" i="10" s="1"/>
  <c r="A59" i="10"/>
  <c r="B59" i="10" s="1"/>
  <c r="A58" i="10"/>
  <c r="B58" i="10" s="1"/>
  <c r="A57" i="10"/>
  <c r="B57" i="10" s="1"/>
  <c r="A56" i="10"/>
  <c r="B56" i="10" s="1"/>
  <c r="A55" i="10"/>
  <c r="B55" i="10" s="1"/>
  <c r="A54" i="10"/>
  <c r="B54" i="10" s="1"/>
  <c r="A53" i="10"/>
  <c r="B53" i="10" s="1"/>
  <c r="A52" i="10"/>
  <c r="B52" i="10" s="1"/>
  <c r="A51" i="10"/>
  <c r="B51" i="10" s="1"/>
  <c r="A50" i="10"/>
  <c r="B50" i="10" s="1"/>
  <c r="A49" i="10"/>
  <c r="B49" i="10" s="1"/>
  <c r="A48" i="10"/>
  <c r="B48" i="10" s="1"/>
  <c r="A47" i="10"/>
  <c r="B47" i="10" s="1"/>
  <c r="A46" i="10"/>
  <c r="B46" i="10" s="1"/>
  <c r="A45" i="10"/>
  <c r="B45" i="10" s="1"/>
  <c r="A44" i="10"/>
  <c r="B44" i="10" s="1"/>
  <c r="A43" i="10"/>
  <c r="B43" i="10" s="1"/>
  <c r="A42" i="10"/>
  <c r="B42" i="10" s="1"/>
  <c r="A41" i="10"/>
  <c r="B41" i="10" s="1"/>
  <c r="A40" i="10"/>
  <c r="B40" i="10" s="1"/>
  <c r="A39" i="10"/>
  <c r="B39" i="10" s="1"/>
  <c r="A38" i="10"/>
  <c r="B38" i="10" s="1"/>
  <c r="A37" i="10"/>
  <c r="B37" i="10" s="1"/>
  <c r="A36" i="10"/>
  <c r="B36" i="10" s="1"/>
  <c r="A35" i="10"/>
  <c r="B35" i="10" s="1"/>
  <c r="A34" i="10"/>
  <c r="B34" i="10" s="1"/>
  <c r="A33" i="10"/>
  <c r="B33" i="10" s="1"/>
  <c r="A32" i="10"/>
  <c r="B32" i="10" s="1"/>
  <c r="A31" i="10"/>
  <c r="B31" i="10" s="1"/>
  <c r="A30" i="10"/>
  <c r="B30" i="10" s="1"/>
  <c r="A29" i="10"/>
  <c r="B29" i="10" s="1"/>
  <c r="A28" i="10"/>
  <c r="B28" i="10" s="1"/>
  <c r="A27" i="10"/>
  <c r="B27" i="10" s="1"/>
  <c r="A26" i="10"/>
  <c r="B26" i="10" s="1"/>
  <c r="A25" i="10"/>
  <c r="B25" i="10" s="1"/>
  <c r="A24" i="10"/>
  <c r="B24" i="10" s="1"/>
  <c r="A23" i="10"/>
  <c r="B23" i="10" s="1"/>
  <c r="A22" i="10"/>
  <c r="B22" i="10" s="1"/>
  <c r="A21" i="10"/>
  <c r="B21" i="10" s="1"/>
  <c r="A20" i="10"/>
  <c r="B20" i="10" s="1"/>
  <c r="A19" i="10"/>
  <c r="B19" i="10" s="1"/>
  <c r="A18" i="10"/>
  <c r="B18" i="10" s="1"/>
  <c r="A17" i="10"/>
  <c r="B17" i="10" s="1"/>
  <c r="A16" i="10"/>
  <c r="B16" i="10" s="1"/>
  <c r="A15" i="10"/>
  <c r="B15" i="10" s="1"/>
  <c r="A14" i="10"/>
  <c r="B14" i="10" s="1"/>
  <c r="A13" i="10"/>
  <c r="B13" i="10" s="1"/>
  <c r="A12" i="10"/>
  <c r="B12" i="10" s="1"/>
  <c r="A11" i="10"/>
  <c r="B11" i="10" s="1"/>
  <c r="A10" i="10"/>
  <c r="B10" i="10" s="1"/>
  <c r="A9" i="10"/>
  <c r="B9" i="10" s="1"/>
  <c r="A8" i="10"/>
  <c r="B8" i="10" s="1"/>
  <c r="A7" i="10"/>
  <c r="B7" i="10" s="1"/>
  <c r="A6" i="10"/>
  <c r="B6" i="10" s="1"/>
  <c r="A5" i="10"/>
  <c r="B5" i="10" s="1"/>
  <c r="A4" i="10"/>
  <c r="B4" i="10" s="1"/>
  <c r="A3" i="10"/>
  <c r="B3" i="10" s="1"/>
  <c r="A2" i="10"/>
  <c r="B2" i="10" s="1"/>
  <c r="G5" i="18" l="1"/>
  <c r="Q2" i="18"/>
  <c r="K2" i="3"/>
  <c r="K4" i="3"/>
  <c r="M4" i="3" s="1"/>
  <c r="K3" i="3"/>
  <c r="M3" i="3" s="1"/>
  <c r="K5" i="3"/>
  <c r="M5" i="3" s="1"/>
  <c r="O2" i="18"/>
  <c r="P302" i="1"/>
  <c r="G4" i="18"/>
  <c r="G2" i="18"/>
  <c r="G3" i="18"/>
  <c r="Y9" i="10"/>
  <c r="Y7" i="10"/>
  <c r="Y8" i="10"/>
  <c r="Y12" i="10"/>
  <c r="Y15" i="10"/>
  <c r="Y3" i="10"/>
  <c r="Y4" i="10"/>
  <c r="Y5" i="10"/>
  <c r="Y6" i="10"/>
  <c r="Y10" i="10"/>
  <c r="Y11" i="10"/>
  <c r="Y13" i="10"/>
  <c r="Y14" i="10"/>
  <c r="Y16" i="10"/>
  <c r="G4" i="10"/>
  <c r="H4" i="10" s="1"/>
  <c r="G11" i="10"/>
  <c r="H11" i="10" s="1"/>
  <c r="G5" i="10"/>
  <c r="H5" i="10" s="1"/>
  <c r="G6" i="10"/>
  <c r="H6" i="10" s="1"/>
  <c r="G7" i="10"/>
  <c r="H7" i="10" s="1"/>
  <c r="G8" i="10"/>
  <c r="H8" i="10" s="1"/>
  <c r="G9" i="10"/>
  <c r="H9" i="10" s="1"/>
  <c r="G2" i="10"/>
  <c r="H2" i="10" s="1"/>
  <c r="G10" i="10"/>
  <c r="H10" i="10" s="1"/>
  <c r="G3" i="10"/>
  <c r="H3" i="10" s="1"/>
  <c r="E3" i="10"/>
  <c r="E2" i="10"/>
  <c r="E4" i="10"/>
  <c r="G6" i="18" l="1"/>
  <c r="M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8B87F9-FE33-475A-AE77-45383FDA4DE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C739E33-E26E-436F-812E-99F929590102}" name="WorksheetConnection_Engagement Summary!$A$1:$H$3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ngagementSummaryA1H3011"/>
        </x15:connection>
      </ext>
    </extLst>
  </connection>
</connections>
</file>

<file path=xl/sharedStrings.xml><?xml version="1.0" encoding="utf-8"?>
<sst xmlns="http://schemas.openxmlformats.org/spreadsheetml/2006/main" count="3555" uniqueCount="501">
  <si>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</si>
  <si>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</si>
  <si>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</si>
  <si>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</si>
  <si>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</si>
  <si>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</si>
  <si>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</si>
  <si>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</si>
  <si>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</si>
  <si>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</si>
  <si>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</si>
  <si>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</si>
  <si>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</si>
  <si>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</si>
  <si>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</si>
  <si>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</si>
  <si>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</si>
  <si>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</si>
  <si>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</si>
  <si>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</si>
  <si>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</si>
  <si>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</si>
  <si>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</si>
  <si>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</si>
  <si>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</si>
  <si>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</si>
  <si>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</si>
  <si>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</si>
  <si>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</si>
  <si>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</si>
  <si>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</si>
  <si>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</si>
  <si>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</si>
  <si>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</si>
  <si>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</si>
  <si>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</si>
  <si>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</si>
  <si>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</si>
  <si>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</si>
  <si>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</si>
  <si>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</si>
  <si>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</si>
  <si>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</si>
  <si>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</si>
  <si>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</si>
  <si>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</si>
  <si>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</si>
  <si>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</si>
  <si>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</si>
  <si>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</si>
  <si>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</si>
  <si>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</si>
  <si>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</si>
  <si>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</si>
  <si>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</si>
  <si>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</si>
  <si>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</si>
  <si>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</si>
  <si>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</si>
  <si>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</si>
  <si>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</si>
  <si>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</si>
  <si>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</si>
  <si>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</si>
  <si>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</si>
  <si>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</si>
  <si>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</si>
  <si>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</si>
  <si>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</si>
  <si>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</si>
  <si>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</si>
  <si>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</si>
  <si>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</si>
  <si>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</si>
  <si>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</si>
  <si>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</si>
  <si>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</si>
  <si>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</si>
  <si>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</si>
  <si>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</si>
  <si>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</si>
  <si>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</si>
  <si>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</si>
  <si>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</si>
  <si>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</si>
  <si>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</si>
  <si>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</si>
  <si>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</si>
  <si>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</si>
  <si>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</si>
  <si>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</si>
  <si>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</si>
  <si>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</si>
  <si>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</si>
  <si>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</si>
  <si>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</si>
  <si>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</si>
  <si>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</si>
  <si>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</si>
  <si>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</si>
  <si>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</si>
  <si>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</si>
  <si>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</si>
  <si>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</si>
  <si>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</si>
  <si>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</si>
  <si>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</si>
  <si>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</si>
  <si>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</si>
  <si>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</si>
  <si>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</si>
  <si>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</si>
  <si>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</si>
  <si>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</si>
  <si>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</si>
  <si>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</si>
  <si>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</si>
  <si>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</si>
  <si>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</si>
  <si>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</si>
  <si>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</si>
  <si>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</si>
  <si>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</si>
  <si>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</si>
  <si>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</si>
  <si>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</si>
  <si>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</si>
  <si>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</si>
  <si>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</si>
  <si>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</si>
  <si>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</si>
  <si>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</si>
  <si>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</si>
  <si>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</si>
  <si>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</si>
  <si>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</si>
  <si>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</si>
  <si>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</si>
  <si>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</si>
  <si>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</si>
  <si>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</si>
  <si>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</si>
  <si>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</si>
  <si>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</si>
  <si>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</si>
  <si>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</si>
  <si>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</si>
  <si>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</si>
  <si>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</si>
  <si>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</si>
  <si>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</si>
  <si>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</si>
  <si>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</si>
  <si>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</si>
  <si>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</si>
  <si>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</si>
  <si>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</si>
  <si>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</si>
  <si>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</si>
  <si>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</si>
  <si>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</si>
  <si>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</si>
  <si>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</si>
  <si>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</si>
  <si>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</si>
  <si>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</si>
  <si>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</si>
  <si>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</si>
  <si>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</si>
  <si>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</si>
  <si>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</si>
  <si>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</si>
  <si>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</si>
  <si>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</si>
  <si>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</si>
  <si>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</si>
  <si>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</si>
  <si>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</si>
  <si>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</si>
  <si>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</si>
  <si>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</si>
  <si>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</si>
  <si>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</si>
  <si>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</si>
  <si>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</si>
  <si>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</si>
  <si>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</si>
  <si>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</si>
  <si>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</si>
  <si>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</si>
  <si>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</si>
  <si>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</si>
  <si>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</si>
  <si>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</si>
  <si>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</si>
  <si>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</si>
  <si>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</si>
  <si>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</si>
  <si>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</si>
  <si>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</si>
  <si>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</si>
  <si>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</si>
  <si>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</si>
  <si>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</si>
  <si>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</si>
  <si>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</si>
  <si>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</si>
  <si>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</si>
  <si>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</si>
  <si>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</si>
  <si>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</si>
  <si>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</si>
  <si>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</si>
  <si>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</si>
  <si>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</si>
  <si>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</si>
  <si>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</si>
  <si>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</si>
  <si>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</si>
  <si>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</si>
  <si>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</si>
  <si>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</si>
  <si>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</si>
  <si>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</si>
  <si>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</si>
  <si>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</si>
  <si>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</si>
  <si>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</si>
  <si>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</si>
  <si>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</si>
  <si>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</si>
  <si>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</si>
  <si>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</si>
  <si>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</si>
  <si>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</si>
  <si>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</si>
  <si>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</si>
  <si>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</si>
  <si>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</si>
  <si>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</si>
  <si>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</si>
  <si>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</si>
  <si>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</si>
  <si>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</si>
  <si>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</si>
  <si>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</si>
  <si>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</si>
  <si>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</si>
  <si>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</si>
  <si>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</si>
  <si>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</si>
  <si>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</si>
  <si>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</si>
  <si>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</si>
  <si>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</si>
  <si>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</si>
  <si>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</si>
  <si>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</si>
  <si>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</si>
  <si>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</si>
  <si>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</si>
  <si>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</si>
  <si>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</si>
  <si>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</si>
  <si>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</si>
  <si>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</si>
  <si>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</si>
  <si>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</si>
  <si>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</si>
  <si>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</si>
  <si>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</si>
  <si>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</si>
  <si>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</si>
  <si>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</si>
  <si>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</si>
  <si>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</si>
  <si>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</si>
  <si>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</si>
  <si>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</si>
  <si>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</si>
  <si>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</si>
  <si>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</si>
  <si>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</si>
  <si>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</si>
  <si>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</si>
  <si>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</si>
  <si>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</si>
  <si>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</si>
  <si>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</si>
  <si>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</si>
  <si>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</si>
  <si>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</si>
  <si>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</si>
  <si>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</si>
  <si>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</si>
  <si>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</si>
  <si>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</si>
  <si>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</si>
  <si>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</si>
  <si>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</si>
  <si>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</si>
  <si>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</si>
  <si>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</si>
  <si>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</si>
  <si>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</si>
  <si>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</si>
  <si>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</si>
  <si>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</si>
  <si>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</si>
  <si>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</si>
  <si>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</si>
  <si>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</si>
  <si>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</si>
  <si>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</si>
  <si>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</si>
  <si>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</si>
  <si>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</si>
  <si>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</si>
  <si>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</si>
  <si>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</si>
  <si>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</si>
  <si>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</si>
  <si>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</si>
  <si>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</si>
  <si>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</si>
  <si>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</si>
  <si>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</si>
  <si>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</si>
  <si>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</si>
  <si>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</si>
  <si>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</si>
  <si>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</si>
  <si>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</si>
  <si>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</si>
  <si>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</si>
  <si>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</si>
  <si>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</si>
  <si>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</si>
  <si>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</si>
  <si>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</si>
  <si>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</si>
  <si>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</si>
  <si>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</si>
  <si>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</si>
  <si>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</si>
  <si>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Engagement</t>
  </si>
  <si>
    <t>Twitter,YouTube</t>
  </si>
  <si>
    <t>Product Launch</t>
  </si>
  <si>
    <t>Instagram,Twitter</t>
  </si>
  <si>
    <t>Traffic</t>
  </si>
  <si>
    <t>Facebook,Instagram</t>
  </si>
  <si>
    <t>#MusicForEveryone</t>
  </si>
  <si>
    <t>#SpotifyWrapped</t>
  </si>
  <si>
    <t xml:space="preserve">Wrapped is here! Relive your top tracks </t>
  </si>
  <si>
    <t>What's your vibe today? #SpotifyHits</t>
  </si>
  <si>
    <t>From pop to podcasts, its all here.</t>
  </si>
  <si>
    <t>Music that moves you only on Spotify.</t>
  </si>
  <si>
    <t>#ChillVibes</t>
  </si>
  <si>
    <t>#IndieWave</t>
  </si>
  <si>
    <t>Total enagement</t>
  </si>
  <si>
    <t>Grand Total</t>
  </si>
  <si>
    <t>Avg rate for Instagram</t>
  </si>
  <si>
    <t>Avg rate for Twitter</t>
  </si>
  <si>
    <t>Avg rate for YouTube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</si>
  <si>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</si>
  <si>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</si>
  <si>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</si>
  <si>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</si>
  <si>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</si>
  <si>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</si>
  <si>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#SoundtrackOfLife,#NowPlaying</t>
  </si>
  <si>
    <t>#MusicForEveryone,#NowPlaying</t>
  </si>
  <si>
    <t>#DiscoverWeekly,#SpotifyWrapped</t>
  </si>
  <si>
    <t>#DiscoverWeekly,#MusicForEveryone</t>
  </si>
  <si>
    <t>#DiscoverWeekly,#SoundtrackOfLife</t>
  </si>
  <si>
    <t>Sum of Clicks</t>
  </si>
  <si>
    <t>Engagement rate per platform</t>
  </si>
  <si>
    <t>Engagement rate</t>
  </si>
  <si>
    <t>Formula = AVERAGEIF(range, criteria, [average_range])</t>
  </si>
  <si>
    <t xml:space="preserve">                Formula= LARGE(array, k)</t>
  </si>
  <si>
    <t>Hashtags Used_01</t>
  </si>
  <si>
    <t>Formula = INDEX(return_range, MATCH(lookup_value, lookup_range, 0))</t>
  </si>
  <si>
    <t>Top 15 Highest Reach</t>
  </si>
  <si>
    <t xml:space="preserve">INDEX(return_range, MATCH(lookup_value, lookup_range, 0)) </t>
  </si>
  <si>
    <t>LARGE(array, k)</t>
  </si>
  <si>
    <t>Growth rate per post</t>
  </si>
  <si>
    <t>Highest Engagement Platform</t>
  </si>
  <si>
    <t>Top 10 Post By Engagment Rate</t>
  </si>
  <si>
    <t>Top 15 performing hashtags</t>
  </si>
  <si>
    <t>Top 10 post</t>
  </si>
  <si>
    <t/>
  </si>
  <si>
    <t>Content type</t>
  </si>
  <si>
    <t>Distribution of Total Interaction of the user by Content type &amp; Platform</t>
  </si>
  <si>
    <t>Hashtags Used_02</t>
  </si>
  <si>
    <t>Sum of Ad_Spend</t>
  </si>
  <si>
    <t>Average of Engagement_Rate</t>
  </si>
  <si>
    <t>Total</t>
  </si>
  <si>
    <t>Average Click Per hastag</t>
  </si>
  <si>
    <t>Avg Clicks as per Separate Hastags Column</t>
  </si>
  <si>
    <t>Hashtags</t>
  </si>
  <si>
    <t>Top Performing hashtags</t>
  </si>
  <si>
    <t>Growth rate per post = New followers - Unfollows / Total Followers</t>
  </si>
  <si>
    <t>Columns used: Ad spend &amp; Enagement rate = F&amp;G</t>
  </si>
  <si>
    <t>Sum of Growth rate per post</t>
  </si>
  <si>
    <t>Engagement Rate Column</t>
  </si>
  <si>
    <t>Count of Hashtags Used</t>
  </si>
  <si>
    <t>Average of engagement rate</t>
  </si>
  <si>
    <t>Column Labels</t>
  </si>
  <si>
    <t>Count of engagement rate</t>
  </si>
  <si>
    <t>Highest Likes, Shares &amp; comments</t>
  </si>
  <si>
    <t>Highest of No of Reach</t>
  </si>
  <si>
    <t>Highest of no Hashtags</t>
  </si>
  <si>
    <t xml:space="preserve">Highest Engement  rate </t>
  </si>
  <si>
    <t xml:space="preserve">        Platform Recommendation</t>
  </si>
  <si>
    <t>Budget</t>
  </si>
  <si>
    <t>Instagram for Text</t>
  </si>
  <si>
    <t>Most frequent hashtags and average engagement for each</t>
  </si>
  <si>
    <t xml:space="preserve"> content types</t>
  </si>
  <si>
    <t>Total of  impressions, likes, clicks</t>
  </si>
  <si>
    <t>Sum of Total of  impressions, likes, clicks</t>
  </si>
  <si>
    <t>Campaign Name</t>
  </si>
  <si>
    <t>Average  of  impressions, likes, clicks</t>
  </si>
  <si>
    <t>#SpotifyWrapped,#MusicForEveryone</t>
  </si>
  <si>
    <t>#SpotifyWrapped,#NowPlaying</t>
  </si>
  <si>
    <t>#ChillVibes,#SoundtrackOfLife</t>
  </si>
  <si>
    <t>#DiscoverWeekly,#IndieWave</t>
  </si>
  <si>
    <t>Primary_Hashtags01</t>
  </si>
  <si>
    <t>Primary_Hashtags_02</t>
  </si>
  <si>
    <t xml:space="preserve">Content types wise performance across platforms </t>
  </si>
  <si>
    <t>Twitter for Story</t>
  </si>
  <si>
    <t>YouTube for Reel</t>
  </si>
  <si>
    <t>Recommending Twitter &amp; Instagram to Continue Maximum Engagement &amp; Growth</t>
  </si>
  <si>
    <t>Week_Start_Date</t>
  </si>
  <si>
    <t>RIO</t>
  </si>
  <si>
    <t>Engagement_Rate %</t>
  </si>
  <si>
    <t>Engagement before</t>
  </si>
  <si>
    <t>Uplift</t>
  </si>
  <si>
    <t>Engagement during</t>
  </si>
  <si>
    <t>Engagement Uplift</t>
  </si>
  <si>
    <t xml:space="preserve">Strong follower  Week start date </t>
  </si>
  <si>
    <t xml:space="preserve">Stongest Follower Campaign </t>
  </si>
  <si>
    <t>Strongest Follower Campaign = IndieWave</t>
  </si>
  <si>
    <t>Net Gain</t>
  </si>
  <si>
    <t>Sum of Net Gain Per Week</t>
  </si>
  <si>
    <t>Week Date</t>
  </si>
  <si>
    <t>Week with highest net follower gain</t>
  </si>
  <si>
    <t>Highest Growth rate</t>
  </si>
  <si>
    <t>Highest  follower Maintained after unfollows</t>
  </si>
  <si>
    <t>Weeks date</t>
  </si>
  <si>
    <t>Months</t>
  </si>
  <si>
    <t>Average of Net gain</t>
  </si>
  <si>
    <t>Max Net follower Gain count</t>
  </si>
  <si>
    <t>Follower Net Gain Per week</t>
  </si>
  <si>
    <t>Ad Spend vs. Follower Growth</t>
  </si>
  <si>
    <t>Ad Spent</t>
  </si>
  <si>
    <t>Total Net Follower Gain</t>
  </si>
  <si>
    <t>Weeks</t>
  </si>
  <si>
    <t>Weeks with Highest Net Follower Gain</t>
  </si>
  <si>
    <t>Moving Average Chart for Follwer Trends</t>
  </si>
  <si>
    <t>Engagement Per Platform</t>
  </si>
  <si>
    <t>Top 10 Post By Engagement Rate</t>
  </si>
  <si>
    <t>Average Clicks per post by Hashtag</t>
  </si>
  <si>
    <t>Weekly Growth rate across platform</t>
  </si>
  <si>
    <t>Recommendation of Content type &amp; Platforms</t>
  </si>
  <si>
    <t>Total count of impressions, likes, clicks as per campaign</t>
  </si>
  <si>
    <t>Average of impressions, likes, clicks as per campaign</t>
  </si>
  <si>
    <t>COUNTIFS(Posts!B2:B301,"Twitter",Posts!D2:D301,"Story")</t>
  </si>
  <si>
    <t>Tables used Platform, Engagement Rate &amp; Content type</t>
  </si>
  <si>
    <t>Formula=AVERAGEIF(Campaign column,"Campaign name",Total of impression/likes/clicks)</t>
  </si>
  <si>
    <t>Tables used Campaign name &amp; Total of impression,clicks, likes</t>
  </si>
  <si>
    <t>Formula=INDEX(Campaign name column, MATCH(MAX(RIO-column range), RIO-column:range, 0 ))</t>
  </si>
  <si>
    <t>MAX('Engagement Summary'!(Growth rate per post- range)</t>
  </si>
  <si>
    <t>INDEX('Engagement Summary'!(Week start date range),MATCH(MAX('Engagement Summary'!(Total Followers range ),'Engagement Summary'!Total followers column range,0))</t>
  </si>
  <si>
    <t>Formula= MAX( Follower net gain per week column range)</t>
  </si>
  <si>
    <t>INDEX(Weeks Date Column range (C)), MATCH(MAX(Follower net gain column -(D)), (D), 0))</t>
  </si>
  <si>
    <t>Weekly Net Gain</t>
  </si>
  <si>
    <t>Weeks Date</t>
  </si>
  <si>
    <t>Formula =  AVERAGE(Weekly Net gain - I Column)</t>
  </si>
  <si>
    <t>J/100</t>
  </si>
  <si>
    <t>Weekly AverageEngagement &amp; Ad spend Distribution Chart</t>
  </si>
  <si>
    <t>Marketing Strategies</t>
  </si>
  <si>
    <t>Campaign Planning</t>
  </si>
  <si>
    <t>Content Performance</t>
  </si>
  <si>
    <t xml:space="preserve"> Focus More on top Performing Hashtags to keep on engaging with User.</t>
  </si>
  <si>
    <t>Promote Story content type on Twitter to get maximum Engagement &amp; similarly Text Content on Instagram, as these both content types are having max engagement across platforms.</t>
  </si>
  <si>
    <t>Focus on Twitter &amp; Instagram platforms for the different Content posting.</t>
  </si>
  <si>
    <t>Make Sure to Follow Best Combination of Content types with Platform like Currently as per data we should focus on Story for Twitter &amp; Instagram for Text Content.</t>
  </si>
  <si>
    <t>Platform Specific ROI</t>
  </si>
  <si>
    <t xml:space="preserve">Twitter is the Platform where we are getting maximum Return on investment, so we should promote this platform for the better reach with users.
</t>
  </si>
  <si>
    <t>Prioritize Twitter &amp; Instagram because of their Highest Engagement rate (9 - 9.6%) &amp; Maximum Growth rate 31% &amp; 29% respectively</t>
  </si>
  <si>
    <t>Allocate the budget on Good performing Platforms, For Twitter can continue the existing budget, May reduce the budget of YouTube (Engagement rate = 8.8%) &amp; allocate to Instagram as its performing Better (Engagement rate = 9.06%)</t>
  </si>
  <si>
    <r>
      <t xml:space="preserve">Look for the Weeks that has Highest Net follower gain &amp; Try to consider it as peak time. Plan for those timeline to achieve more engagement. like currently </t>
    </r>
    <r>
      <rPr>
        <b/>
        <sz val="11"/>
        <color theme="1"/>
        <rFont val="Calibri"/>
        <family val="2"/>
        <scheme val="minor"/>
      </rPr>
      <t>(4-11-2024)</t>
    </r>
    <r>
      <rPr>
        <sz val="11"/>
        <color theme="1"/>
        <rFont val="Calibri"/>
        <scheme val="minor"/>
      </rPr>
      <t xml:space="preserve"> Seen the highest followers. so we can do more campaign in these specific periods.</t>
    </r>
  </si>
  <si>
    <r>
      <t xml:space="preserve">Focus on Campaign like </t>
    </r>
    <r>
      <rPr>
        <b/>
        <sz val="11"/>
        <color theme="1"/>
        <rFont val="Calibri"/>
        <family val="2"/>
        <scheme val="minor"/>
      </rPr>
      <t>ChillVibes</t>
    </r>
    <r>
      <rPr>
        <sz val="11"/>
        <color theme="1"/>
        <rFont val="Calibri"/>
        <scheme val="minor"/>
      </rPr>
      <t xml:space="preserve"> which has Highest no of Engagement among others Similarly Spend on campaigns like </t>
    </r>
    <r>
      <rPr>
        <b/>
        <sz val="11"/>
        <color theme="1"/>
        <rFont val="Calibri"/>
        <family val="2"/>
        <scheme val="minor"/>
      </rPr>
      <t>IndieWave</t>
    </r>
    <r>
      <rPr>
        <sz val="11"/>
        <color theme="1"/>
        <rFont val="Calibri"/>
        <scheme val="minor"/>
      </rPr>
      <t xml:space="preserve"> which has Max Average Interaction.</t>
    </r>
  </si>
  <si>
    <r>
      <t xml:space="preserve">Step up the Budget for </t>
    </r>
    <r>
      <rPr>
        <b/>
        <sz val="11"/>
        <color theme="1"/>
        <rFont val="Calibri"/>
        <family val="2"/>
        <scheme val="minor"/>
      </rPr>
      <t>ChillVibes</t>
    </r>
    <r>
      <rPr>
        <sz val="11"/>
        <color theme="1"/>
        <rFont val="Calibri"/>
        <scheme val="minor"/>
      </rPr>
      <t xml:space="preserve"> because of its Highest Retuns.</t>
    </r>
  </si>
  <si>
    <t>Continue &amp; Strongly promote IndieWave Campaign as it has Stronger Follwers.</t>
  </si>
  <si>
    <t>impressiom/total flower</t>
  </si>
  <si>
    <t>Highest ROI Campaign</t>
  </si>
  <si>
    <t>https://screenrec.com/share/iYVb6lhPBN</t>
  </si>
  <si>
    <t>Video Link</t>
  </si>
  <si>
    <t>https://drive.google.com/file/d/13H8FVNRhgeCwHEIM-O0O2P14KXxwhEgS/view?usp=sharing</t>
  </si>
  <si>
    <t>Alternate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</si>
</sst>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yyyy/mm/dd"/>
    <numFmt numFmtId="165" formatCode="[$-14009]yyyy/mm/dd;@"/>
    <numFmt numFmtId="166" formatCode="0.0000%"/>
    <numFmt numFmtId="167" formatCode="0.000"/>
    <numFmt numFmtId="168" formatCode="0.0000"/>
    <numFmt numFmtId="169" formatCode="0.0%"/>
  </numFmts>
  <fonts count="3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&quot;Aptos Narrow&quot;"/>
    </font>
    <font>
      <b/>
      <sz val="11"/>
      <color theme="1"/>
      <name val="Calibri"/>
      <family val="2"/>
    </font>
    <font>
      <b/>
      <sz val="11"/>
      <color theme="1"/>
      <name val="&quot;Aptos Narrow&quot;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4"/>
      <color theme="1"/>
      <name val="Calibri"/>
      <family val="2"/>
      <scheme val="minor"/>
    </font>
    <font>
      <b/>
      <sz val="11"/>
      <color rgb="FF000000"/>
      <name val="&quot;Aptos Narrow&quot;"/>
    </font>
    <font>
      <b/>
      <sz val="12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scheme val="minor"/>
    </font>
    <font>
      <u/>
      <sz val="11"/>
      <color theme="10"/>
      <name val="Calibri"/>
      <scheme val="minor"/>
    </font>
    <font>
      <b/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0" fontId="6" fillId="0" borderId="0"/>
    <xf numFmtId="0" fontId="28" fillId="0" borderId="0" applyNumberFormat="0" applyFill="0" applyBorder="0" applyAlignment="0" applyProtection="0"/>
  </cellStyleXfs>
  <cellXfs count="239">
    <xf numFmtId="0" fontId="0" fillId="0" borderId="0" xfId="0"/>
    <xf numFmtId="0" fontId="0" fillId="0" borderId="0" xfId="0" pivotButton="1"/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0" fontId="16" fillId="0" borderId="0" xfId="0" applyNumberFormat="1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10" fontId="17" fillId="4" borderId="6" xfId="0" applyNumberFormat="1" applyFont="1" applyFill="1" applyBorder="1" applyAlignment="1">
      <alignment horizontal="center" vertical="center"/>
    </xf>
    <xf numFmtId="10" fontId="16" fillId="3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1" fontId="18" fillId="4" borderId="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" fontId="17" fillId="4" borderId="6" xfId="0" applyNumberFormat="1" applyFont="1" applyFill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10" fontId="11" fillId="0" borderId="6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10" fontId="17" fillId="4" borderId="7" xfId="0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10" fontId="16" fillId="0" borderId="6" xfId="0" applyNumberFormat="1" applyFont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0" fontId="0" fillId="0" borderId="6" xfId="0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1" fontId="0" fillId="0" borderId="6" xfId="0" applyNumberFormat="1" applyBorder="1"/>
    <xf numFmtId="0" fontId="19" fillId="0" borderId="0" xfId="0" applyFont="1" applyAlignment="1">
      <alignment vertical="center"/>
    </xf>
    <xf numFmtId="0" fontId="0" fillId="4" borderId="6" xfId="0" applyFill="1" applyBorder="1"/>
    <xf numFmtId="0" fontId="14" fillId="0" borderId="6" xfId="0" applyFont="1" applyBorder="1" applyAlignment="1">
      <alignment horizontal="left"/>
    </xf>
    <xf numFmtId="0" fontId="14" fillId="0" borderId="6" xfId="0" applyFont="1" applyBorder="1"/>
    <xf numFmtId="10" fontId="14" fillId="4" borderId="3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6" xfId="0" pivotButton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10" fontId="14" fillId="0" borderId="6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2" fontId="14" fillId="4" borderId="3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pivotButton="1" applyNumberForma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 wrapText="1"/>
    </xf>
    <xf numFmtId="0" fontId="23" fillId="0" borderId="6" xfId="0" pivotButton="1" applyFont="1" applyBorder="1" applyAlignment="1">
      <alignment horizontal="center" vertical="center" wrapText="1"/>
    </xf>
    <xf numFmtId="166" fontId="23" fillId="0" borderId="6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4" fontId="14" fillId="0" borderId="0" xfId="0" applyNumberFormat="1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8" fontId="14" fillId="4" borderId="3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 wrapText="1"/>
    </xf>
    <xf numFmtId="165" fontId="18" fillId="4" borderId="3" xfId="0" applyNumberFormat="1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8" fillId="0" borderId="0" xfId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6" fillId="0" borderId="0" xfId="2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 wrapText="1"/>
    </xf>
    <xf numFmtId="169" fontId="0" fillId="0" borderId="6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169" fontId="4" fillId="4" borderId="6" xfId="0" applyNumberFormat="1" applyFont="1" applyFill="1" applyBorder="1" applyAlignment="1">
      <alignment horizontal="center" vertical="center"/>
    </xf>
    <xf numFmtId="9" fontId="4" fillId="4" borderId="6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2" fontId="8" fillId="0" borderId="6" xfId="1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165" fontId="20" fillId="4" borderId="0" xfId="0" applyNumberFormat="1" applyFont="1" applyFill="1" applyAlignment="1">
      <alignment horizontal="center" vertical="center"/>
    </xf>
    <xf numFmtId="49" fontId="20" fillId="4" borderId="0" xfId="0" applyNumberFormat="1" applyFont="1" applyFill="1" applyAlignment="1">
      <alignment horizontal="center" vertical="center"/>
    </xf>
    <xf numFmtId="1" fontId="20" fillId="4" borderId="0" xfId="0" applyNumberFormat="1" applyFont="1" applyFill="1" applyAlignment="1">
      <alignment horizontal="center" vertical="center"/>
    </xf>
    <xf numFmtId="2" fontId="20" fillId="4" borderId="0" xfId="1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14" fillId="4" borderId="0" xfId="0" applyFont="1" applyFill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1" fontId="25" fillId="4" borderId="0" xfId="0" applyNumberFormat="1" applyFont="1" applyFill="1" applyAlignment="1">
      <alignment horizontal="center" vertical="center"/>
    </xf>
    <xf numFmtId="0" fontId="3" fillId="0" borderId="6" xfId="0" pivotButton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26" fillId="0" borderId="6" xfId="0" applyNumberFormat="1" applyFont="1" applyBorder="1" applyAlignment="1">
      <alignment horizontal="center" vertical="center"/>
    </xf>
    <xf numFmtId="10" fontId="17" fillId="2" borderId="7" xfId="0" applyNumberFormat="1" applyFont="1" applyFill="1" applyBorder="1" applyAlignment="1">
      <alignment horizontal="center" vertical="center"/>
    </xf>
    <xf numFmtId="10" fontId="16" fillId="8" borderId="7" xfId="0" applyNumberFormat="1" applyFont="1" applyFill="1" applyBorder="1" applyAlignment="1">
      <alignment horizontal="center" vertical="center"/>
    </xf>
    <xf numFmtId="10" fontId="16" fillId="8" borderId="6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2" xfId="0" applyBorder="1"/>
    <xf numFmtId="1" fontId="0" fillId="0" borderId="12" xfId="0" applyNumberFormat="1" applyBorder="1"/>
    <xf numFmtId="0" fontId="17" fillId="2" borderId="6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" fillId="0" borderId="0" xfId="0" pivotButton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49" fontId="20" fillId="3" borderId="0" xfId="0" applyNumberFormat="1" applyFont="1" applyFill="1" applyAlignment="1">
      <alignment horizontal="center" vertical="center"/>
    </xf>
    <xf numFmtId="2" fontId="20" fillId="3" borderId="0" xfId="1" applyNumberFormat="1" applyFont="1" applyFill="1" applyAlignment="1">
      <alignment horizontal="center" vertical="center"/>
    </xf>
    <xf numFmtId="1" fontId="20" fillId="3" borderId="0" xfId="0" applyNumberFormat="1" applyFont="1" applyFill="1" applyAlignment="1">
      <alignment horizontal="center" vertical="center"/>
    </xf>
    <xf numFmtId="10" fontId="14" fillId="3" borderId="0" xfId="0" applyNumberFormat="1" applyFont="1" applyFill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0" fontId="14" fillId="0" borderId="0" xfId="0" applyNumberFormat="1" applyFont="1" applyAlignment="1">
      <alignment vertical="center" wrapText="1"/>
    </xf>
    <xf numFmtId="0" fontId="14" fillId="0" borderId="20" xfId="0" applyFont="1" applyBorder="1" applyAlignment="1">
      <alignment horizontal="center" vertical="center"/>
    </xf>
    <xf numFmtId="44" fontId="14" fillId="0" borderId="6" xfId="0" applyNumberFormat="1" applyFont="1" applyBorder="1" applyAlignment="1">
      <alignment horizontal="center" vertical="center"/>
    </xf>
    <xf numFmtId="0" fontId="27" fillId="0" borderId="0" xfId="0" pivotButton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2" fillId="0" borderId="0" xfId="0" applyNumberFormat="1" applyFont="1" applyAlignment="1">
      <alignment horizontal="center" vertical="center"/>
    </xf>
    <xf numFmtId="0" fontId="0" fillId="2" borderId="6" xfId="0" applyFill="1" applyBorder="1" applyAlignment="1">
      <alignment wrapText="1"/>
    </xf>
    <xf numFmtId="0" fontId="0" fillId="0" borderId="6" xfId="0" applyBorder="1" applyAlignment="1">
      <alignment wrapText="1"/>
    </xf>
    <xf numFmtId="0" fontId="2" fillId="0" borderId="6" xfId="0" applyFont="1" applyBorder="1" applyAlignment="1">
      <alignment wrapText="1"/>
    </xf>
    <xf numFmtId="49" fontId="18" fillId="4" borderId="3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10" fontId="14" fillId="4" borderId="0" xfId="0" applyNumberFormat="1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" fontId="14" fillId="0" borderId="6" xfId="0" applyNumberFormat="1" applyFont="1" applyBorder="1"/>
    <xf numFmtId="0" fontId="1" fillId="0" borderId="6" xfId="0" applyFont="1" applyBorder="1" applyAlignment="1">
      <alignment wrapText="1"/>
    </xf>
    <xf numFmtId="169" fontId="14" fillId="3" borderId="6" xfId="0" applyNumberFormat="1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7" fillId="4" borderId="6" xfId="0" applyFont="1" applyFill="1" applyBorder="1" applyAlignment="1">
      <alignment horizontal="center" vertical="center"/>
    </xf>
    <xf numFmtId="10" fontId="17" fillId="2" borderId="7" xfId="0" applyNumberFormat="1" applyFont="1" applyFill="1" applyBorder="1" applyAlignment="1">
      <alignment horizontal="center" vertical="center"/>
    </xf>
    <xf numFmtId="10" fontId="17" fillId="2" borderId="8" xfId="0" applyNumberFormat="1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/>
    </xf>
    <xf numFmtId="2" fontId="17" fillId="2" borderId="6" xfId="0" applyNumberFormat="1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2" fontId="17" fillId="3" borderId="6" xfId="0" applyNumberFormat="1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" fontId="14" fillId="2" borderId="6" xfId="0" applyNumberFormat="1" applyFont="1" applyFill="1" applyBorder="1" applyAlignment="1">
      <alignment horizontal="center" vertical="center" wrapText="1"/>
    </xf>
    <xf numFmtId="10" fontId="14" fillId="3" borderId="6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0" fontId="14" fillId="0" borderId="6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9" fillId="0" borderId="6" xfId="3" applyFont="1" applyBorder="1"/>
  </cellXfs>
  <cellStyles count="4">
    <cellStyle name="Hyperlink" xfId="3" builtinId="8"/>
    <cellStyle name="Normal" xfId="0" builtinId="0"/>
    <cellStyle name="Normal 2" xfId="2" xr:uid="{FD9E7AF8-FE4A-4F08-A083-0DA029D9CBC0}"/>
    <cellStyle name="Per cent" xfId="1" builtinId="5"/>
  </cellStyles>
  <dxfs count="2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general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wrapText="1"/>
    </dxf>
    <dxf>
      <alignment wrapText="1"/>
    </dxf>
    <dxf>
      <font>
        <sz val="12"/>
      </font>
    </dxf>
    <dxf>
      <font>
        <sz val="12"/>
      </font>
    </dxf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0.00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horizontal="general" indent="0"/>
    </dxf>
    <dxf>
      <alignment wrapText="1"/>
    </dxf>
    <dxf>
      <alignment wrapText="1"/>
    </dxf>
    <dxf>
      <font>
        <sz val="12"/>
      </font>
    </dxf>
    <dxf>
      <font>
        <sz val="12"/>
      </font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3499862666707357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Ad Spend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Instagram</c:v>
              </c:pt>
              <c:pt idx="1">
                <c:v>Twitter</c:v>
              </c:pt>
              <c:pt idx="2">
                <c:v>YouTube</c:v>
              </c:pt>
            </c:strLit>
          </c:cat>
          <c:val>
            <c:numLit>
              <c:formatCode>General</c:formatCode>
              <c:ptCount val="3"/>
              <c:pt idx="0">
                <c:v>1035942</c:v>
              </c:pt>
              <c:pt idx="1">
                <c:v>1114204</c:v>
              </c:pt>
              <c:pt idx="2">
                <c:v>1065782</c:v>
              </c:pt>
            </c:numLit>
          </c:val>
          <c:extLst>
            <c:ext xmlns:c16="http://schemas.microsoft.com/office/drawing/2014/chart" uri="{C3380CC4-5D6E-409C-BE32-E72D297353CC}">
              <c16:uniqueId val="{00000000-EC52-4A85-8675-6C7BF9F98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0126255"/>
        <c:axId val="1300129615"/>
      </c:barChart>
      <c:lineChart>
        <c:grouping val="stacked"/>
        <c:varyColors val="0"/>
        <c:ser>
          <c:idx val="1"/>
          <c:order val="1"/>
          <c:tx>
            <c:v>Engagement_Rate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3"/>
              <c:pt idx="0">
                <c:v>Instagram</c:v>
              </c:pt>
              <c:pt idx="1">
                <c:v>Twitter</c:v>
              </c:pt>
              <c:pt idx="2">
                <c:v>YouTube</c:v>
              </c:pt>
            </c:strLit>
          </c:cat>
          <c:val>
            <c:numLit>
              <c:formatCode>General</c:formatCode>
              <c:ptCount val="3"/>
              <c:pt idx="0">
                <c:v>6.4582089552238831</c:v>
              </c:pt>
              <c:pt idx="1">
                <c:v>6.8856716417910446</c:v>
              </c:pt>
              <c:pt idx="2">
                <c:v>6.7189393939393929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C52-4A85-8675-6C7BF9F98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3608223"/>
        <c:axId val="1893614463"/>
      </c:lineChart>
      <c:catAx>
        <c:axId val="130012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29615"/>
        <c:crosses val="autoZero"/>
        <c:auto val="1"/>
        <c:lblAlgn val="ctr"/>
        <c:lblOffset val="100"/>
        <c:noMultiLvlLbl val="0"/>
      </c:catAx>
      <c:valAx>
        <c:axId val="130012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126255"/>
        <c:crosses val="autoZero"/>
        <c:crossBetween val="between"/>
      </c:valAx>
      <c:valAx>
        <c:axId val="18936144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08223"/>
        <c:crosses val="max"/>
        <c:crossBetween val="between"/>
      </c:valAx>
      <c:catAx>
        <c:axId val="1893608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93614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data.xlsx]Platform Performance Analysis!PivotTable7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'Platform Performance Analysis'!$C$1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'Platform Performance Analysis'!$B$2:$B$5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'Platform Performance Analysis'!$C$2:$C$5</c:f>
              <c:numCache>
                <c:formatCode>0.00%</c:formatCode>
                <c:ptCount val="3"/>
                <c:pt idx="0">
                  <c:v>0.29149089921061594</c:v>
                </c:pt>
                <c:pt idx="1">
                  <c:v>0.31489507387388765</c:v>
                </c:pt>
                <c:pt idx="2">
                  <c:v>0.26067100999220127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6-4E5F-8AB1-E9FF0F78B0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2172768"/>
        <c:axId val="122178528"/>
      </c:barChart>
      <c:catAx>
        <c:axId val="1221727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78528"/>
        <c:crosses val="autoZero"/>
        <c:auto val="1"/>
        <c:lblAlgn val="ctr"/>
        <c:lblOffset val="100"/>
        <c:noMultiLvlLbl val="0"/>
      </c:catAx>
      <c:valAx>
        <c:axId val="122178528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crossAx val="1221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Net follower 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'Follower Retention &amp; Loyalty'!$K$1</c:f>
              <c:strCache>
                <c:ptCount val="1"/>
                <c:pt idx="0">
                  <c:v>Average of Net gain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'Follower Retention &amp; Loyalty'!$J$2:$J$17</c:f>
              <c:numCache>
                <c:formatCode>m/d/yyyy</c:formatCode>
                <c:ptCount val="16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</c:numCache>
            </c:numRef>
          </c:xVal>
          <c:yVal>
            <c:numRef>
              <c:f>'Follower Retention &amp; Loyalty'!$K$2:$K$17</c:f>
              <c:numCache>
                <c:formatCode>0</c:formatCode>
                <c:ptCount val="16"/>
                <c:pt idx="0">
                  <c:v>2951</c:v>
                </c:pt>
                <c:pt idx="1">
                  <c:v>2472.6</c:v>
                </c:pt>
                <c:pt idx="2">
                  <c:v>2628.75</c:v>
                </c:pt>
                <c:pt idx="3">
                  <c:v>2646</c:v>
                </c:pt>
                <c:pt idx="4">
                  <c:v>2495.25</c:v>
                </c:pt>
                <c:pt idx="5">
                  <c:v>2648</c:v>
                </c:pt>
                <c:pt idx="6">
                  <c:v>2272.1999999999998</c:v>
                </c:pt>
                <c:pt idx="7">
                  <c:v>2138</c:v>
                </c:pt>
                <c:pt idx="8">
                  <c:v>1824.25</c:v>
                </c:pt>
                <c:pt idx="9">
                  <c:v>2545.1999999999998</c:v>
                </c:pt>
                <c:pt idx="10">
                  <c:v>2653.25</c:v>
                </c:pt>
                <c:pt idx="11">
                  <c:v>2483</c:v>
                </c:pt>
                <c:pt idx="12">
                  <c:v>2001.6</c:v>
                </c:pt>
                <c:pt idx="13">
                  <c:v>2813.25</c:v>
                </c:pt>
                <c:pt idx="14">
                  <c:v>2125.25</c:v>
                </c:pt>
                <c:pt idx="15">
                  <c:v>1430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AE-471F-9A74-01378D18F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801488"/>
        <c:axId val="420777488"/>
      </c:scatterChart>
      <c:valAx>
        <c:axId val="42080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77488"/>
        <c:crosses val="autoZero"/>
        <c:crossBetween val="midCat"/>
      </c:valAx>
      <c:valAx>
        <c:axId val="4207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80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data.xlsx]Follower Retention &amp; Loyalty!PivotTable11</c:name>
    <c:fmtId val="9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1"/>
          <c:order val="1"/>
          <c:tx>
            <c:strRef>
              <c:f>'Follower Retention &amp; Loyalty'!$W$1</c:f>
              <c:strCache>
                <c:ptCount val="1"/>
                <c:pt idx="0">
                  <c:v>Ad Spent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'Follower Retention &amp; Loyalty'!$U$2:$U$69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'Follower Retention &amp; Loyalty'!$W$2:$W$69</c:f>
              <c:numCache>
                <c:formatCode>General</c:formatCode>
                <c:ptCount val="67"/>
                <c:pt idx="0">
                  <c:v>53723</c:v>
                </c:pt>
                <c:pt idx="1">
                  <c:v>60293</c:v>
                </c:pt>
                <c:pt idx="2">
                  <c:v>51908</c:v>
                </c:pt>
                <c:pt idx="3">
                  <c:v>57474</c:v>
                </c:pt>
                <c:pt idx="4">
                  <c:v>52712</c:v>
                </c:pt>
                <c:pt idx="5">
                  <c:v>42020</c:v>
                </c:pt>
                <c:pt idx="6">
                  <c:v>48627</c:v>
                </c:pt>
                <c:pt idx="7">
                  <c:v>48009</c:v>
                </c:pt>
                <c:pt idx="8">
                  <c:v>34912</c:v>
                </c:pt>
                <c:pt idx="9">
                  <c:v>45349</c:v>
                </c:pt>
                <c:pt idx="10">
                  <c:v>24209</c:v>
                </c:pt>
                <c:pt idx="11">
                  <c:v>52127</c:v>
                </c:pt>
                <c:pt idx="12">
                  <c:v>66319</c:v>
                </c:pt>
                <c:pt idx="13">
                  <c:v>55150</c:v>
                </c:pt>
                <c:pt idx="14">
                  <c:v>44141</c:v>
                </c:pt>
                <c:pt idx="15">
                  <c:v>51007</c:v>
                </c:pt>
                <c:pt idx="16">
                  <c:v>61088</c:v>
                </c:pt>
                <c:pt idx="17">
                  <c:v>47808</c:v>
                </c:pt>
                <c:pt idx="18">
                  <c:v>40791</c:v>
                </c:pt>
                <c:pt idx="19">
                  <c:v>42137</c:v>
                </c:pt>
                <c:pt idx="20">
                  <c:v>52390</c:v>
                </c:pt>
                <c:pt idx="21">
                  <c:v>75610</c:v>
                </c:pt>
                <c:pt idx="22">
                  <c:v>51694</c:v>
                </c:pt>
                <c:pt idx="23">
                  <c:v>51792</c:v>
                </c:pt>
                <c:pt idx="24">
                  <c:v>40181</c:v>
                </c:pt>
                <c:pt idx="25">
                  <c:v>35823</c:v>
                </c:pt>
                <c:pt idx="26">
                  <c:v>45124</c:v>
                </c:pt>
                <c:pt idx="27">
                  <c:v>59678</c:v>
                </c:pt>
                <c:pt idx="28">
                  <c:v>51493</c:v>
                </c:pt>
                <c:pt idx="29">
                  <c:v>42747</c:v>
                </c:pt>
                <c:pt idx="30">
                  <c:v>44785</c:v>
                </c:pt>
                <c:pt idx="31">
                  <c:v>34533</c:v>
                </c:pt>
                <c:pt idx="32">
                  <c:v>27644</c:v>
                </c:pt>
                <c:pt idx="33">
                  <c:v>42348</c:v>
                </c:pt>
                <c:pt idx="34">
                  <c:v>37127</c:v>
                </c:pt>
                <c:pt idx="35">
                  <c:v>56414</c:v>
                </c:pt>
                <c:pt idx="36">
                  <c:v>37927</c:v>
                </c:pt>
                <c:pt idx="37">
                  <c:v>43741</c:v>
                </c:pt>
                <c:pt idx="38">
                  <c:v>57395</c:v>
                </c:pt>
                <c:pt idx="39">
                  <c:v>54434</c:v>
                </c:pt>
                <c:pt idx="40">
                  <c:v>59353</c:v>
                </c:pt>
                <c:pt idx="41">
                  <c:v>36312</c:v>
                </c:pt>
                <c:pt idx="42">
                  <c:v>44995</c:v>
                </c:pt>
                <c:pt idx="43">
                  <c:v>51236</c:v>
                </c:pt>
                <c:pt idx="44">
                  <c:v>54066</c:v>
                </c:pt>
                <c:pt idx="45">
                  <c:v>78882</c:v>
                </c:pt>
                <c:pt idx="46">
                  <c:v>60429</c:v>
                </c:pt>
                <c:pt idx="47">
                  <c:v>49246</c:v>
                </c:pt>
                <c:pt idx="48">
                  <c:v>34913</c:v>
                </c:pt>
                <c:pt idx="49">
                  <c:v>57847</c:v>
                </c:pt>
                <c:pt idx="50">
                  <c:v>49692</c:v>
                </c:pt>
                <c:pt idx="51">
                  <c:v>48399</c:v>
                </c:pt>
                <c:pt idx="52">
                  <c:v>39516</c:v>
                </c:pt>
                <c:pt idx="53">
                  <c:v>40484</c:v>
                </c:pt>
                <c:pt idx="54">
                  <c:v>38906</c:v>
                </c:pt>
                <c:pt idx="55">
                  <c:v>63317</c:v>
                </c:pt>
                <c:pt idx="56">
                  <c:v>57969</c:v>
                </c:pt>
                <c:pt idx="57">
                  <c:v>32182</c:v>
                </c:pt>
                <c:pt idx="58">
                  <c:v>40815</c:v>
                </c:pt>
                <c:pt idx="59">
                  <c:v>52043</c:v>
                </c:pt>
                <c:pt idx="60">
                  <c:v>59271</c:v>
                </c:pt>
                <c:pt idx="61">
                  <c:v>48774</c:v>
                </c:pt>
                <c:pt idx="62">
                  <c:v>37461</c:v>
                </c:pt>
                <c:pt idx="63">
                  <c:v>52726</c:v>
                </c:pt>
                <c:pt idx="64">
                  <c:v>39009</c:v>
                </c:pt>
                <c:pt idx="65">
                  <c:v>46102</c:v>
                </c:pt>
                <c:pt idx="66">
                  <c:v>19299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AC-4A7A-9986-2660BCE82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430800"/>
        <c:axId val="792438960"/>
      </c:lineChart>
      <c:lineChart>
        <c:grouping val="stacked"/>
        <c:varyColors val="0"/>
        <c:ser>
          <c:idx val="0"/>
          <c:order val="0"/>
          <c:tx>
            <c:strRef>
              <c:f>'Follower Retention &amp; Loyalty'!$V$1</c:f>
              <c:strCache>
                <c:ptCount val="1"/>
                <c:pt idx="0">
                  <c:v>Total Net Follower Gain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'Follower Retention &amp; Loyalty'!$U$2:$U$69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'Follower Retention &amp; Loyalty'!$V$2:$V$69</c:f>
              <c:numCache>
                <c:formatCode>General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C-4A7A-9986-2660BCE82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2466800"/>
        <c:axId val="792448560"/>
      </c:lineChart>
      <c:catAx>
        <c:axId val="79243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38960"/>
        <c:crosses val="autoZero"/>
        <c:auto val="1"/>
        <c:lblAlgn val="ctr"/>
        <c:lblOffset val="100"/>
        <c:noMultiLvlLbl val="0"/>
      </c:catAx>
      <c:valAx>
        <c:axId val="7924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30800"/>
        <c:crosses val="autoZero"/>
        <c:crossBetween val="between"/>
      </c:valAx>
      <c:valAx>
        <c:axId val="7924485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66800"/>
        <c:crosses val="max"/>
        <c:crossBetween val="between"/>
      </c:valAx>
      <c:catAx>
        <c:axId val="7924668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2448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878205</xdr:colOff>
      <xdr:row>7</xdr:row>
      <xdr:rowOff>173355</xdr:rowOff>
    </xdr:from>
    <xdr:to>
      <xdr:col>6</xdr:col>
      <xdr:colOff>1609725</xdr:colOff>
      <xdr:row>21</xdr:row>
      <xdr:rowOff>97155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A334D9-18CF-428F-8ED4-1B8C612797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43815</xdr:colOff>
      <xdr:row>8</xdr:row>
      <xdr:rowOff>92392</xdr:rowOff>
    </xdr:from>
    <xdr:to>
      <xdr:col>3</xdr:col>
      <xdr:colOff>17145</xdr:colOff>
      <xdr:row>22</xdr:row>
      <xdr:rowOff>170497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A921B5-FFFB-21D0-D9B2-A662002BB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148590</xdr:colOff>
      <xdr:row>1</xdr:row>
      <xdr:rowOff>121920</xdr:rowOff>
    </xdr:from>
    <xdr:to>
      <xdr:col>18</xdr:col>
      <xdr:colOff>457200</xdr:colOff>
      <xdr:row>16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33C594-DF8D-6270-BFAB-AA097F825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131445</xdr:colOff>
      <xdr:row>0</xdr:row>
      <xdr:rowOff>72390</xdr:rowOff>
    </xdr:from>
    <xdr:to>
      <xdr:col>31</xdr:col>
      <xdr:colOff>1087755</xdr:colOff>
      <xdr:row>22</xdr:row>
      <xdr:rowOff>68580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0397BF-91F7-0A22-9201-FE426CF6C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01.708352314818" createdVersion="8" refreshedVersion="8" minRefreshableVersion="3" recordCount="300" xr:uid="{26698FE1-D9EE-4366-9278-04A688EB73ED}">
  <cacheSource type="worksheet">
    <worksheetSource ref="A1:A301" sheet="Posts"/>
  </cacheSource>
  <cacheFields count="20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0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0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Hashtags Used_00" numFmtId="0">
      <sharedItems count="4">
        <s v="#SoundtrackOfLife"/>
        <s v="#DiscoverWeekly"/>
        <s v="#MusicForEveryone"/>
        <s v="#NowPlaying"/>
      </sharedItems>
    </cacheField>
    <cacheField name="Hashtags_01" numFmtId="0">
      <sharedItems containsBlank="1" count="5">
        <s v="#NowPlaying"/>
        <m/>
        <s v="#SpotifyWrapped"/>
        <s v="#MusicForEveryone"/>
        <s v="#SoundtrackOfLife"/>
      </sharedItems>
    </cacheField>
    <cacheField name="Campaign_Name" numFmtId="0">
      <sharedItems/>
    </cacheField>
    <cacheField name="Total enagement" numFmtId="1">
      <sharedItems containsSemiMixedTypes="0" containsString="0" containsNumber="1" containsInteger="1" minValue="1341" maxValue="5728"/>
    </cacheField>
    <cacheField name="enagemnt rate" numFmtId="10">
      <sharedItems containsSemiMixedTypes="0" containsString="0" containsNumber="1" minValue="2.50275284149232E-2" maxValue="0.26064752360763155"/>
    </cacheField>
    <cacheField name="three platform" numFmtId="0">
      <sharedItems containsBlank="1"/>
    </cacheField>
    <cacheField name="ratewise" numFmtId="0">
      <sharedItems containsString="0" containsBlank="1" containsNumber="1" minValue="8.8108118547634104E-2" maxValue="9.0794830422286865E-2"/>
    </cacheField>
    <cacheField name="Top 10 posts by engagement rate" numFmtId="10">
      <sharedItems containsString="0" containsBlank="1" containsNumber="1" minValue="0.18517978620019437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08.418758912034" createdVersion="8" refreshedVersion="8" minRefreshableVersion="3" recordCount="1001" xr:uid="{8DF80CDF-25FB-48F3-AD42-B270B0972CA7}">
  <cacheSource type="worksheet">
    <worksheetSource ref="A1:N1048576" sheet="Posts"/>
  </cacheSource>
  <cacheFields count="14">
    <cacheField name="Post ID" numFmtId="0">
      <sharedItems containsBlank="1"/>
    </cacheField>
    <cacheField name="Platform" numFmtId="0">
      <sharedItems containsBlank="1"/>
    </cacheField>
    <cacheField name="Date" numFmtId="0">
      <sharedItems containsNonDate="0" containsDate="1" containsString="0" containsBlank="1" minDate="2024-01-01T00:00:00" maxDate="2025-07-02T00:00:00"/>
    </cacheField>
    <cacheField name="Content Type" numFmtId="0">
      <sharedItems containsBlank="1"/>
    </cacheField>
    <cacheField name="Post Text" numFmtId="0">
      <sharedItems containsBlank="1"/>
    </cacheField>
    <cacheField name="Likes" numFmtId="1">
      <sharedItems containsString="0" containsBlank="1" containsNumber="1" containsInteger="1" minValue="1010" maxValue="4995"/>
    </cacheField>
    <cacheField name="Shares" numFmtId="1">
      <sharedItems containsString="0" containsBlank="1" containsNumber="1" containsInteger="1" minValue="100" maxValue="499"/>
    </cacheField>
    <cacheField name="Comments" numFmtId="1">
      <sharedItems containsString="0" containsBlank="1" containsNumber="1" containsInteger="1" minValue="51" maxValue="400"/>
    </cacheField>
    <cacheField name="Impressions" numFmtId="1">
      <sharedItems containsString="0" containsBlank="1" containsNumber="1" containsInteger="1" minValue="20368" maxValue="59888"/>
    </cacheField>
    <cacheField name="Reach" numFmtId="1">
      <sharedItems containsString="0" containsBlank="1" containsNumber="1" containsInteger="1" minValue="18091" maxValue="74761"/>
    </cacheField>
    <cacheField name="Clicks" numFmtId="1">
      <sharedItems containsString="0" containsBlank="1" containsNumber="1" containsInteger="1" minValue="80" maxValue="299"/>
    </cacheField>
    <cacheField name="Hashtags Used" numFmtId="0">
      <sharedItems containsBlank="1"/>
    </cacheField>
    <cacheField name="Hashtags Used_01" numFmtId="0">
      <sharedItems containsBlank="1" count="5">
        <s v="#SoundtrackOfLife"/>
        <s v="#DiscoverWeekly"/>
        <s v="#MusicForEveryone"/>
        <s v="#NowPlaying"/>
        <m/>
      </sharedItems>
    </cacheField>
    <cacheField name="Hashtags Used_02" numFmtId="0">
      <sharedItems containsBlank="1" count="5">
        <s v="#NowPlaying"/>
        <m/>
        <s v="#SpotifyWrapped"/>
        <s v="#MusicForEveryone"/>
        <s v="#SoundtrackOfLif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08.420713310188" createdVersion="8" refreshedVersion="8" minRefreshableVersion="3" recordCount="300" xr:uid="{5A5F589A-2793-4338-847A-62DF582C03F7}">
  <cacheSource type="worksheet">
    <worksheetSource ref="K1:N301" sheet="Posts"/>
  </cacheSource>
  <cacheFields count="4">
    <cacheField name="Clicks" numFmtId="1">
      <sharedItems containsSemiMixedTypes="0" containsString="0" containsNumber="1" containsInteger="1" minValue="80" maxValue="299"/>
    </cacheField>
    <cacheField name="Hashtags Used" numFmtId="0">
      <sharedItems/>
    </cacheField>
    <cacheField name="Hashtags Used_01" numFmtId="0">
      <sharedItems count="4">
        <s v="#SoundtrackOfLife"/>
        <s v="#DiscoverWeekly"/>
        <s v="#MusicForEveryone"/>
        <s v="#NowPlaying"/>
      </sharedItems>
    </cacheField>
    <cacheField name="Hashtags Used_02" numFmtId="0">
      <sharedItems containsBlank="1" count="5">
        <s v="#NowPlaying"/>
        <m/>
        <s v="#SpotifyWrapped"/>
        <s v="#MusicForEveryone"/>
        <s v="#SoundtrackOfLif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08.554557986114" createdVersion="8" refreshedVersion="8" minRefreshableVersion="3" recordCount="300" xr:uid="{2A48AB21-9670-4B7A-97FC-38E34ADA6A25}">
  <cacheSource type="worksheet">
    <worksheetSource ref="B1:H301" sheet="Engagement Summary"/>
  </cacheSource>
  <cacheFields count="7">
    <cacheField name="Platform" numFmtId="49">
      <sharedItems containsBlank="1" count="4">
        <s v="Instagram"/>
        <s v="Twitter"/>
        <s v="YouTube"/>
        <m/>
      </sharedItems>
    </cacheField>
    <cacheField name="New_Followers" numFmtId="1">
      <sharedItems containsString="0" containsBlank="1" containsNumber="1" containsInteger="1" minValue="503" maxValue="1490"/>
    </cacheField>
    <cacheField name="Unfollows" numFmtId="1">
      <sharedItems containsString="0" containsBlank="1" containsNumber="1" containsInteger="1" minValue="50" maxValue="296"/>
    </cacheField>
    <cacheField name="Total_Followers" numFmtId="1">
      <sharedItems containsString="0" containsBlank="1" containsNumber="1" containsInteger="1" minValue="61445" maxValue="397607"/>
    </cacheField>
    <cacheField name="Engagement_Rate" numFmtId="2">
      <sharedItems containsString="0" containsBlank="1" containsNumber="1" minValue="3.08" maxValue="9.99"/>
    </cacheField>
    <cacheField name="Ad_Spend" numFmtId="1">
      <sharedItems containsString="0" containsBlank="1" containsNumber="1" containsInteger="1" minValue="5281" maxValue="27829"/>
    </cacheField>
    <cacheField name="Growth rate per post" numFmtId="0">
      <sharedItems containsString="0" containsBlank="1" containsNumber="1" minValue="7.9729048800556194E-4" maxValue="1.783623448598860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08.576074074073" createdVersion="8" refreshedVersion="8" minRefreshableVersion="3" recordCount="1000" xr:uid="{373AC58D-548F-4BEE-A996-5897CD0098BB}">
  <cacheSource type="worksheet">
    <worksheetSource ref="A1:P1048576" sheet="Posts"/>
  </cacheSource>
  <cacheFields count="16">
    <cacheField name="Post ID" numFmtId="0">
      <sharedItems containsBlank="1"/>
    </cacheField>
    <cacheField name="Platform" numFmtId="0">
      <sharedItems containsBlank="1" count="4">
        <s v="Instagram"/>
        <s v="Twitter"/>
        <s v="YouTube"/>
        <m/>
      </sharedItems>
    </cacheField>
    <cacheField name="Date" numFmtId="0">
      <sharedItems containsNonDate="0" containsDate="1" containsString="0" containsBlank="1" minDate="2024-01-01T00:00:00" maxDate="2025-07-02T00:00:00" count="236">
        <d v="2025-05-04T00:00:00"/>
        <d v="2025-02-01T00:00:00"/>
        <d v="2024-12-03T00:00:00"/>
        <d v="2024-04-06T00:00:00"/>
        <d v="2024-06-13T00:00:00"/>
        <d v="2024-12-19T00:00:00"/>
        <d v="2024-05-09T00:00:00"/>
        <d v="2025-06-15T00:00:00"/>
        <d v="2024-12-04T00:00:00"/>
        <d v="2024-03-06T00:00:00"/>
        <d v="2024-05-14T00:00:00"/>
        <d v="2025-06-18T00:00:00"/>
        <d v="2024-10-08T00:00:00"/>
        <d v="2024-05-06T00:00:00"/>
        <d v="2024-12-29T00:00:00"/>
        <d v="2024-06-10T00:00:00"/>
        <d v="2024-02-03T00:00:00"/>
        <d v="2024-06-15T00:00:00"/>
        <d v="2024-07-05T00:00:00"/>
        <d v="2024-11-07T00:00:00"/>
        <d v="2024-06-09T00:00:00"/>
        <d v="2024-10-18T00:00:00"/>
        <d v="2024-10-10T00:00:00"/>
        <d v="2025-05-14T00:00:00"/>
        <d v="2024-11-29T00:00:00"/>
        <d v="2024-03-05T00:00:00"/>
        <d v="2025-03-18T00:00:00"/>
        <d v="2025-04-26T00:00:00"/>
        <d v="2025-01-01T00:00:00"/>
        <d v="2024-05-07T00:00:00"/>
        <d v="2024-10-09T00:00:00"/>
        <d v="2025-01-09T00:00:00"/>
        <d v="2025-05-08T00:00:00"/>
        <d v="2024-05-04T00:00:00"/>
        <d v="2025-05-27T00:00:00"/>
        <d v="2024-09-10T00:00:00"/>
        <d v="2024-11-25T00:00:00"/>
        <d v="2025-06-10T00:00:00"/>
        <d v="2024-04-19T00:00:00"/>
        <d v="2025-01-26T00:00:00"/>
        <d v="2025-02-14T00:00:00"/>
        <d v="2024-09-06T00:00:00"/>
        <d v="2024-07-14T00:00:00"/>
        <d v="2024-02-12T00:00:00"/>
        <d v="2024-03-14T00:00:00"/>
        <d v="2025-02-05T00:00:00"/>
        <d v="2024-08-29T00:00:00"/>
        <d v="2025-04-22T00:00:00"/>
        <d v="2024-05-13T00:00:00"/>
        <d v="2024-09-04T00:00:00"/>
        <d v="2024-08-12T00:00:00"/>
        <d v="2025-03-06T00:00:00"/>
        <d v="2024-05-08T00:00:00"/>
        <d v="2025-02-19T00:00:00"/>
        <d v="2024-01-08T00:00:00"/>
        <d v="2024-07-17T00:00:00"/>
        <d v="2024-08-10T00:00:00"/>
        <d v="2024-04-16T00:00:00"/>
        <d v="2024-01-01T00:00:00"/>
        <d v="2024-11-03T00:00:00"/>
        <d v="2024-07-07T00:00:00"/>
        <d v="2025-01-22T00:00:00"/>
        <d v="2024-05-26T00:00:00"/>
        <d v="2025-04-16T00:00:00"/>
        <d v="2024-04-02T00:00:00"/>
        <d v="2024-03-28T00:00:00"/>
        <d v="2024-12-17T00:00:00"/>
        <d v="2025-01-05T00:00:00"/>
        <d v="2024-01-11T00:00:00"/>
        <d v="2024-10-11T00:00:00"/>
        <d v="2025-05-06T00:00:00"/>
        <d v="2024-05-19T00:00:00"/>
        <d v="2024-01-22T00:00:00"/>
        <d v="2025-05-28T00:00:00"/>
        <d v="2025-01-21T00:00:00"/>
        <d v="2024-01-13T00:00:00"/>
        <d v="2025-06-17T00:00:00"/>
        <d v="2025-03-07T00:00:00"/>
        <d v="2024-08-26T00:00:00"/>
        <d v="2025-01-03T00:00:00"/>
        <d v="2024-08-03T00:00:00"/>
        <d v="2024-08-18T00:00:00"/>
        <d v="2024-04-23T00:00:00"/>
        <d v="2025-02-17T00:00:00"/>
        <d v="2024-07-22T00:00:00"/>
        <d v="2025-04-27T00:00:00"/>
        <d v="2024-03-25T00:00:00"/>
        <d v="2024-02-29T00:00:00"/>
        <d v="2024-11-13T00:00:00"/>
        <d v="2024-03-22T00:00:00"/>
        <d v="2024-03-16T00:00:00"/>
        <d v="2024-01-26T00:00:00"/>
        <d v="2024-03-15T00:00:00"/>
        <d v="2024-10-15T00:00:00"/>
        <d v="2024-07-21T00:00:00"/>
        <d v="2024-10-12T00:00:00"/>
        <d v="2024-10-26T00:00:00"/>
        <d v="2024-02-14T00:00:00"/>
        <d v="2024-05-01T00:00:00"/>
        <d v="2024-09-18T00:00:00"/>
        <d v="2025-01-20T00:00:00"/>
        <d v="2025-01-13T00:00:00"/>
        <d v="2024-09-07T00:00:00"/>
        <d v="2024-11-21T00:00:00"/>
        <d v="2024-06-26T00:00:00"/>
        <d v="2024-07-20T00:00:00"/>
        <d v="2025-02-16T00:00:00"/>
        <d v="2024-09-09T00:00:00"/>
        <d v="2024-07-16T00:00:00"/>
        <d v="2025-04-15T00:00:00"/>
        <d v="2024-02-18T00:00:00"/>
        <d v="2024-05-16T00:00:00"/>
        <d v="2025-05-29T00:00:00"/>
        <d v="2025-01-17T00:00:00"/>
        <d v="2025-04-30T00:00:00"/>
        <d v="2024-02-24T00:00:00"/>
        <d v="2024-05-12T00:00:00"/>
        <d v="2024-11-06T00:00:00"/>
        <d v="2024-01-04T00:00:00"/>
        <d v="2024-01-28T00:00:00"/>
        <d v="2024-02-22T00:00:00"/>
        <d v="2025-07-01T00:00:00"/>
        <d v="2024-01-10T00:00:00"/>
        <d v="2025-03-20T00:00:00"/>
        <d v="2024-09-28T00:00:00"/>
        <d v="2024-01-27T00:00:00"/>
        <d v="2025-05-15T00:00:00"/>
        <d v="2024-10-04T00:00:00"/>
        <d v="2024-11-19T00:00:00"/>
        <d v="2024-04-05T00:00:00"/>
        <d v="2024-11-28T00:00:00"/>
        <d v="2025-03-09T00:00:00"/>
        <d v="2024-08-27T00:00:00"/>
        <d v="2024-10-01T00:00:00"/>
        <d v="2024-12-21T00:00:00"/>
        <d v="2024-06-17T00:00:00"/>
        <d v="2025-05-22T00:00:00"/>
        <d v="2024-01-21T00:00:00"/>
        <d v="2025-02-08T00:00:00"/>
        <d v="2025-04-13T00:00:00"/>
        <d v="2024-05-30T00:00:00"/>
        <d v="2024-09-27T00:00:00"/>
        <d v="2025-06-11T00:00:00"/>
        <d v="2024-04-25T00:00:00"/>
        <d v="2024-09-03T00:00:00"/>
        <d v="2025-03-02T00:00:00"/>
        <d v="2025-03-21T00:00:00"/>
        <d v="2024-04-12T00:00:00"/>
        <d v="2024-02-08T00:00:00"/>
        <d v="2025-05-26T00:00:00"/>
        <d v="2024-11-14T00:00:00"/>
        <d v="2024-08-09T00:00:00"/>
        <d v="2025-06-27T00:00:00"/>
        <d v="2025-01-27T00:00:00"/>
        <d v="2024-04-03T00:00:00"/>
        <d v="2024-11-23T00:00:00"/>
        <d v="2024-09-01T00:00:00"/>
        <d v="2024-04-18T00:00:00"/>
        <d v="2024-06-04T00:00:00"/>
        <d v="2025-04-02T00:00:00"/>
        <d v="2025-04-01T00:00:00"/>
        <d v="2024-07-02T00:00:00"/>
        <d v="2024-11-10T00:00:00"/>
        <d v="2024-12-14T00:00:00"/>
        <d v="2024-03-19T00:00:00"/>
        <d v="2024-07-23T00:00:00"/>
        <d v="2024-07-13T00:00:00"/>
        <d v="2024-06-16T00:00:00"/>
        <d v="2025-05-18T00:00:00"/>
        <d v="2025-06-06T00:00:00"/>
        <d v="2025-02-20T00:00:00"/>
        <d v="2025-01-16T00:00:00"/>
        <d v="2024-09-16T00:00:00"/>
        <d v="2024-05-10T00:00:00"/>
        <d v="2024-01-14T00:00:00"/>
        <d v="2025-01-12T00:00:00"/>
        <d v="2024-12-08T00:00:00"/>
        <d v="2024-07-11T00:00:00"/>
        <d v="2024-03-18T00:00:00"/>
        <d v="2024-09-12T00:00:00"/>
        <d v="2024-10-06T00:00:00"/>
        <d v="2024-12-30T00:00:00"/>
        <d v="2024-08-21T00:00:00"/>
        <d v="2025-04-07T00:00:00"/>
        <d v="2024-07-19T00:00:00"/>
        <d v="2025-05-03T00:00:00"/>
        <d v="2024-04-14T00:00:00"/>
        <d v="2025-06-19T00:00:00"/>
        <d v="2025-06-24T00:00:00"/>
        <d v="2025-01-15T00:00:00"/>
        <d v="2025-05-31T00:00:00"/>
        <d v="2024-10-14T00:00:00"/>
        <d v="2024-02-10T00:00:00"/>
        <d v="2024-12-10T00:00:00"/>
        <d v="2025-05-09T00:00:00"/>
        <d v="2025-06-21T00:00:00"/>
        <d v="2024-06-19T00:00:00"/>
        <d v="2024-02-01T00:00:00"/>
        <d v="2024-01-17T00:00:00"/>
        <d v="2025-03-22T00:00:00"/>
        <d v="2024-10-20T00:00:00"/>
        <d v="2024-02-02T00:00:00"/>
        <d v="2024-12-20T00:00:00"/>
        <d v="2024-12-13T00:00:00"/>
        <d v="2024-09-15T00:00:00"/>
        <d v="2025-04-12T00:00:00"/>
        <d v="2025-06-08T00:00:00"/>
        <d v="2024-07-08T00:00:00"/>
        <d v="2024-06-14T00:00:00"/>
        <d v="2024-08-08T00:00:00"/>
        <d v="2025-02-03T00:00:00"/>
        <d v="2024-06-08T00:00:00"/>
        <d v="2025-01-19T00:00:00"/>
        <d v="2024-11-16T00:00:00"/>
        <d v="2024-11-30T00:00:00"/>
        <d v="2024-03-27T00:00:00"/>
        <d v="2024-11-08T00:00:00"/>
        <d v="2024-03-17T00:00:00"/>
        <d v="2024-06-21T00:00:00"/>
        <d v="2024-02-19T00:00:00"/>
        <d v="2025-03-04T00:00:00"/>
        <d v="2024-12-02T00:00:00"/>
        <d v="2024-01-07T00:00:00"/>
        <d v="2024-02-21T00:00:00"/>
        <d v="2024-10-24T00:00:00"/>
        <d v="2025-01-29T00:00:00"/>
        <d v="2024-06-25T00:00:00"/>
        <d v="2024-08-13T00:00:00"/>
        <d v="2024-06-29T00:00:00"/>
        <d v="2025-04-18T00:00:00"/>
        <d v="2024-12-27T00:00:00"/>
        <d v="2025-03-08T00:00:00"/>
        <d v="2025-06-30T00:00:00"/>
        <d v="2024-01-12T00:00:00"/>
        <d v="2024-02-07T00:00:00"/>
        <m/>
      </sharedItems>
    </cacheField>
    <cacheField name="Content Type" numFmtId="0">
      <sharedItems containsBlank="1" count="4">
        <s v="Text"/>
        <s v="Story"/>
        <s v="Reel"/>
        <m/>
      </sharedItems>
    </cacheField>
    <cacheField name="Post Text" numFmtId="0">
      <sharedItems containsBlank="1"/>
    </cacheField>
    <cacheField name="Likes" numFmtId="1">
      <sharedItems containsString="0" containsBlank="1" containsNumber="1" containsInteger="1" minValue="1010" maxValue="4995"/>
    </cacheField>
    <cacheField name="Shares" numFmtId="1">
      <sharedItems containsString="0" containsBlank="1" containsNumber="1" containsInteger="1" minValue="100" maxValue="499"/>
    </cacheField>
    <cacheField name="Comments" numFmtId="1">
      <sharedItems containsString="0" containsBlank="1" containsNumber="1" containsInteger="1" minValue="51" maxValue="400"/>
    </cacheField>
    <cacheField name="Impressions" numFmtId="1">
      <sharedItems containsString="0" containsBlank="1" containsNumber="1" containsInteger="1" minValue="20368" maxValue="59888"/>
    </cacheField>
    <cacheField name="Reach" numFmtId="1">
      <sharedItems containsString="0" containsBlank="1" containsNumber="1" containsInteger="1" minValue="18091" maxValue="74761"/>
    </cacheField>
    <cacheField name="Clicks" numFmtId="1">
      <sharedItems containsString="0" containsBlank="1" containsNumber="1" containsInteger="1" minValue="80" maxValue="299"/>
    </cacheField>
    <cacheField name="Hashtags Used" numFmtId="0">
      <sharedItems containsBlank="1" count="9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  <m/>
      </sharedItems>
    </cacheField>
    <cacheField name="Hashtags Used_01" numFmtId="0">
      <sharedItems containsBlank="1"/>
    </cacheField>
    <cacheField name="Hashtags Used_02" numFmtId="0">
      <sharedItems containsBlank="1"/>
    </cacheField>
    <cacheField name="Campaign_Name" numFmtId="0">
      <sharedItems containsBlank="1"/>
    </cacheField>
    <cacheField name="engagement rate" numFmtId="0">
      <sharedItems containsString="0" containsBlank="1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08.787792708332" createdVersion="8" refreshedVersion="8" minRefreshableVersion="3" recordCount="200" xr:uid="{665FF632-8DBE-4102-BCE8-2481C06869D6}">
  <cacheSource type="worksheet">
    <worksheetSource ref="B1:G201" sheet="Engagement Summary"/>
  </cacheSource>
  <cacheFields count="6">
    <cacheField name="Platform" numFmtId="49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09.611445717594" createdVersion="8" refreshedVersion="8" minRefreshableVersion="3" recordCount="1001" xr:uid="{0AD7605C-9791-45D9-B075-40BCA5E35885}">
  <cacheSource type="worksheet">
    <worksheetSource ref="A1:B1048576" sheet="Campaign Effectiveness "/>
  </cacheSource>
  <cacheFields count="2">
    <cacheField name="Campaign_Name" numFmtId="0">
      <sharedItems containsBlank="1" count="5">
        <s v="ChillVibes"/>
        <s v="IndieWave"/>
        <s v="Wrapped2024"/>
        <s v="SummerBeats"/>
        <m/>
      </sharedItems>
    </cacheField>
    <cacheField name="Total of  impressions, likes, clicks" numFmtId="0">
      <sharedItems containsString="0" containsBlank="1" containsNumber="1" containsInteger="1" minValue="21921" maxValue="64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13.765796412037" createdVersion="8" refreshedVersion="8" minRefreshableVersion="3" recordCount="1000" xr:uid="{C1223CED-65D0-4BE8-B733-E3868DB99CE1}">
  <cacheSource type="worksheet">
    <worksheetSource ref="A1:I1048576" sheet="Engagement Summary"/>
  </cacheSource>
  <cacheFields count="12">
    <cacheField name="Week_Start_Date" numFmtId="165">
      <sharedItems containsNonDate="0" containsDate="1" containsString="0" containsBlank="1" minDate="2024-06-03T00:00:00" maxDate="2025-09-09T00:00:00" count="68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m/>
      </sharedItems>
      <fieldGroup par="11"/>
    </cacheField>
    <cacheField name="Platform" numFmtId="49">
      <sharedItems containsBlank="1"/>
    </cacheField>
    <cacheField name="New_Followers" numFmtId="1">
      <sharedItems containsString="0" containsBlank="1" containsNumber="1" containsInteger="1" minValue="503" maxValue="1490"/>
    </cacheField>
    <cacheField name="Unfollows" numFmtId="1">
      <sharedItems containsString="0" containsBlank="1" containsNumber="1" containsInteger="1" minValue="50" maxValue="296"/>
    </cacheField>
    <cacheField name="Total_Followers" numFmtId="1">
      <sharedItems containsString="0" containsBlank="1" containsNumber="1" containsInteger="1" minValue="61445" maxValue="397607"/>
    </cacheField>
    <cacheField name="Engagement_Rate" numFmtId="2">
      <sharedItems containsString="0" containsBlank="1" containsNumber="1" minValue="3.08" maxValue="9.99"/>
    </cacheField>
    <cacheField name="Ad_Spend" numFmtId="1">
      <sharedItems containsString="0" containsBlank="1" containsNumber="1" containsInteger="1" minValue="5281" maxValue="27829"/>
    </cacheField>
    <cacheField name="Growth rate per post" numFmtId="0">
      <sharedItems containsString="0" containsBlank="1" containsNumber="1" minValue="7.9729048800556194E-4" maxValue="1.7836234485988603E-2"/>
    </cacheField>
    <cacheField name="Net Gain" numFmtId="0">
      <sharedItems containsString="0" containsBlank="1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13.817410995369" createdVersion="8" refreshedVersion="8" minRefreshableVersion="3" recordCount="1000" xr:uid="{737FF236-D32C-41A1-B7B8-D93476D64464}">
  <cacheSource type="worksheet">
    <worksheetSource ref="A1:K1048576" sheet="Engagement Summary"/>
  </cacheSource>
  <cacheFields count="14">
    <cacheField name="Week_Start_Date" numFmtId="165">
      <sharedItems containsNonDate="0" containsDate="1" containsString="0" containsBlank="1" minDate="2024-06-03T00:00:00" maxDate="2025-09-09T00:00:00" count="68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m/>
      </sharedItems>
      <fieldGroup par="13"/>
    </cacheField>
    <cacheField name="Platform" numFmtId="49">
      <sharedItems containsBlank="1" count="4">
        <s v="Instagram"/>
        <s v="Twitter"/>
        <s v="YouTube"/>
        <m/>
      </sharedItems>
    </cacheField>
    <cacheField name="New_Followers" numFmtId="1">
      <sharedItems containsString="0" containsBlank="1" containsNumber="1" containsInteger="1" minValue="503" maxValue="1490"/>
    </cacheField>
    <cacheField name="Unfollows" numFmtId="1">
      <sharedItems containsString="0" containsBlank="1" containsNumber="1" containsInteger="1" minValue="50" maxValue="296"/>
    </cacheField>
    <cacheField name="Total_Followers" numFmtId="1">
      <sharedItems containsString="0" containsBlank="1" containsNumber="1" containsInteger="1" minValue="61445" maxValue="397607"/>
    </cacheField>
    <cacheField name="Engagement_Rate" numFmtId="2">
      <sharedItems containsString="0" containsBlank="1" containsNumber="1" minValue="3.08" maxValue="9.99"/>
    </cacheField>
    <cacheField name="Ad_Spend" numFmtId="1">
      <sharedItems containsString="0" containsBlank="1" containsNumber="1" containsInteger="1" minValue="5281" maxValue="27829"/>
    </cacheField>
    <cacheField name="Growth rate per post" numFmtId="0">
      <sharedItems containsString="0" containsBlank="1" containsNumber="1" minValue="7.9729048800556194E-4" maxValue="1.7836234485988603E-2"/>
    </cacheField>
    <cacheField name="Net Gain" numFmtId="0">
      <sharedItems containsString="0" containsBlank="1" containsNumber="1" containsInteger="1" minValue="250" maxValue="1397"/>
    </cacheField>
    <cacheField name="Week Date" numFmtId="0">
      <sharedItems containsDate="1" containsBlank="1" containsMixedTypes="1" minDate="2024-06-03T00:00:00" maxDate="2025-09-09T00:00:00"/>
    </cacheField>
    <cacheField name="Sum of Net Gain Per Week" numFmtId="0">
      <sharedItems containsString="0" containsBlank="1" containsNumber="1" containsInteger="1" minValue="1384" maxValue="161588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a Koli" refreshedDate="45913.825096643515" createdVersion="8" refreshedVersion="8" minRefreshableVersion="3" recordCount="200" xr:uid="{AE90E1E6-6EE1-401A-977B-92BB1BCC811C}">
  <cacheSource type="worksheet">
    <worksheetSource ref="A1:K201" sheet="Engagement Summary"/>
  </cacheSource>
  <cacheFields count="14">
    <cacheField name="Week_Start_Date" numFmtId="165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3"/>
    </cacheField>
    <cacheField name="Platform" numFmtId="49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Growth rate per post" numFmtId="10">
      <sharedItems containsSemiMixedTypes="0" containsString="0" containsNumber="1" minValue="7.9729048800556194E-4" maxValue="1.7836234485988603E-2"/>
    </cacheField>
    <cacheField name="Net Gain" numFmtId="1">
      <sharedItems containsSemiMixedTypes="0" containsString="0" containsNumber="1" containsInteger="1" minValue="250" maxValue="1397"/>
    </cacheField>
    <cacheField name="Week Date" numFmtId="0">
      <sharedItems containsDate="1" containsBlank="1" containsMixedTypes="1" minDate="2024-06-03T00:00:00" maxDate="2025-09-09T00:00:00" count="69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s v="Grand Total"/>
        <m/>
      </sharedItems>
    </cacheField>
    <cacheField name="Sum of Net Gain Per Week" numFmtId="0">
      <sharedItems containsString="0" containsBlank="1" containsNumber="1" containsInteger="1" minValue="1384" maxValue="161588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x v="0"/>
    <x v="0"/>
    <x v="0"/>
    <s v="ChillVibes"/>
    <n v="2796"/>
    <n v="0.13200509890939993"/>
    <m/>
    <m/>
    <n v="0.26064752360763155"/>
  </r>
  <r>
    <s v="SP002"/>
    <x v="0"/>
    <d v="2025-02-01T00:00:00"/>
    <x v="0"/>
    <s v="Explore the latest podcasts now."/>
    <n v="1934"/>
    <n v="210"/>
    <n v="393"/>
    <n v="29129"/>
    <n v="73287"/>
    <n v="273"/>
    <x v="1"/>
    <x v="1"/>
    <x v="1"/>
    <s v="IndieWave"/>
    <n v="2537"/>
    <n v="8.7095334546328396E-2"/>
    <m/>
    <m/>
    <n v="0.23193025217961938"/>
  </r>
  <r>
    <s v="SP003"/>
    <x v="1"/>
    <d v="2024-12-03T00:00:00"/>
    <x v="1"/>
    <s v="New music just dropped. Hit play!"/>
    <n v="3092"/>
    <n v="177"/>
    <n v="81"/>
    <n v="47533"/>
    <n v="29220"/>
    <n v="121"/>
    <x v="2"/>
    <x v="2"/>
    <x v="0"/>
    <s v="ChillVibes"/>
    <n v="3350"/>
    <n v="7.0477352576105018E-2"/>
    <m/>
    <m/>
    <n v="0.22967524699836073"/>
  </r>
  <r>
    <s v="SP004"/>
    <x v="0"/>
    <d v="2024-12-03T00:00:00"/>
    <x v="0"/>
    <s v="Wrapped is here! Relive your top tracks "/>
    <n v="3173"/>
    <n v="229"/>
    <n v="197"/>
    <n v="29604"/>
    <n v="21809"/>
    <n v="272"/>
    <x v="0"/>
    <x v="0"/>
    <x v="0"/>
    <s v="ChillVibes"/>
    <n v="3599"/>
    <n v="0.1215714092690177"/>
    <m/>
    <m/>
    <n v="0.20445859872611466"/>
  </r>
  <r>
    <s v="SP005"/>
    <x v="2"/>
    <d v="2024-04-06T00:00:00"/>
    <x v="0"/>
    <s v="Music that moves you only on Spotify."/>
    <n v="2748"/>
    <n v="145"/>
    <n v="315"/>
    <n v="24401"/>
    <n v="61182"/>
    <n v="200"/>
    <x v="3"/>
    <x v="1"/>
    <x v="2"/>
    <s v="IndieWave"/>
    <n v="3208"/>
    <n v="0.1314700217204213"/>
    <m/>
    <m/>
    <n v="0.20241060666934513"/>
  </r>
  <r>
    <s v="SP006"/>
    <x v="2"/>
    <d v="2024-06-13T00:00:00"/>
    <x v="0"/>
    <s v="What's your vibe today? #SpotifyHits"/>
    <n v="3882"/>
    <n v="239"/>
    <n v="275"/>
    <n v="58748"/>
    <n v="44646"/>
    <n v="149"/>
    <x v="3"/>
    <x v="1"/>
    <x v="2"/>
    <s v="IndieWave"/>
    <n v="4396"/>
    <n v="7.4828079253761837E-2"/>
    <m/>
    <m/>
    <n v="0.19548583208133888"/>
  </r>
  <r>
    <s v="SP007"/>
    <x v="1"/>
    <d v="2024-12-19T00:00:00"/>
    <x v="1"/>
    <s v="Get into the groove with our new drop!"/>
    <n v="4674"/>
    <n v="409"/>
    <n v="327"/>
    <n v="20756"/>
    <n v="63599"/>
    <n v="212"/>
    <x v="0"/>
    <x v="0"/>
    <x v="0"/>
    <s v="ChillVibes"/>
    <n v="5410"/>
    <n v="0.26064752360763155"/>
    <m/>
    <m/>
    <n v="0.19390491670052823"/>
  </r>
  <r>
    <s v="SP008"/>
    <x v="1"/>
    <d v="2024-05-09T00:00:00"/>
    <x v="1"/>
    <s v="Wrapped is here! Relive your top tracks "/>
    <n v="1428"/>
    <n v="347"/>
    <n v="67"/>
    <n v="21148"/>
    <n v="19712"/>
    <n v="120"/>
    <x v="4"/>
    <x v="1"/>
    <x v="3"/>
    <s v="ChillVibes"/>
    <n v="1842"/>
    <n v="8.7100435029317191E-2"/>
    <m/>
    <m/>
    <n v="0.19261223173659131"/>
  </r>
  <r>
    <s v="SP009"/>
    <x v="1"/>
    <d v="2025-06-15T00:00:00"/>
    <x v="0"/>
    <s v="Top trending tracks updated daily!"/>
    <n v="4432"/>
    <n v="223"/>
    <n v="299"/>
    <n v="59016"/>
    <n v="21742"/>
    <n v="171"/>
    <x v="5"/>
    <x v="3"/>
    <x v="1"/>
    <s v="ChillVibes"/>
    <n v="4954"/>
    <n v="8.3943337400027115E-2"/>
    <s v="Avg rate for Instagram"/>
    <n v="9.0794830422286865E-2"/>
    <n v="0.18723441538528934"/>
  </r>
  <r>
    <s v="SP010"/>
    <x v="1"/>
    <d v="2024-12-04T00:00:00"/>
    <x v="0"/>
    <s v="Wrapped is here! Relive your top tracks "/>
    <n v="2357"/>
    <n v="274"/>
    <n v="172"/>
    <n v="21566"/>
    <n v="66829"/>
    <n v="284"/>
    <x v="5"/>
    <x v="3"/>
    <x v="1"/>
    <s v="ChillVibes"/>
    <n v="2803"/>
    <n v="0.12997310581470833"/>
    <s v="Avg rate for Twitter"/>
    <n v="9.0794830422286865E-2"/>
    <n v="0.18517978620019437"/>
  </r>
  <r>
    <s v="SP011"/>
    <x v="1"/>
    <d v="2024-03-06T00:00:00"/>
    <x v="0"/>
    <s v="Discover fresh beats on Spotify!"/>
    <n v="1971"/>
    <n v="370"/>
    <n v="306"/>
    <n v="31316"/>
    <n v="27897"/>
    <n v="88"/>
    <x v="6"/>
    <x v="0"/>
    <x v="1"/>
    <s v="IndieWave"/>
    <n v="2647"/>
    <n v="8.4525482181632389E-2"/>
    <s v="Avg rate for YouTube"/>
    <n v="8.8108118547634104E-2"/>
    <m/>
  </r>
  <r>
    <s v="SP012"/>
    <x v="0"/>
    <d v="2024-05-14T00:00:00"/>
    <x v="0"/>
    <s v="Discover fresh beats on Spotify!"/>
    <n v="1485"/>
    <n v="353"/>
    <n v="244"/>
    <n v="38419"/>
    <n v="38556"/>
    <n v="86"/>
    <x v="0"/>
    <x v="0"/>
    <x v="0"/>
    <s v="ChillVibes"/>
    <n v="2082"/>
    <n v="5.4191936281527367E-2"/>
    <m/>
    <m/>
    <m/>
  </r>
  <r>
    <s v="SP013"/>
    <x v="1"/>
    <d v="2025-06-18T00:00:00"/>
    <x v="1"/>
    <s v="Discover fresh beats on Spotify!"/>
    <n v="3956"/>
    <n v="319"/>
    <n v="61"/>
    <n v="58162"/>
    <n v="28720"/>
    <n v="213"/>
    <x v="2"/>
    <x v="2"/>
    <x v="0"/>
    <s v="ChillVibes"/>
    <n v="4336"/>
    <n v="7.4550393727863554E-2"/>
    <m/>
    <m/>
    <m/>
  </r>
  <r>
    <s v="SP014"/>
    <x v="1"/>
    <d v="2024-10-08T00:00:00"/>
    <x v="0"/>
    <s v="From pop to podcasts, its all here."/>
    <n v="2460"/>
    <n v="409"/>
    <n v="253"/>
    <n v="36702"/>
    <n v="46122"/>
    <n v="264"/>
    <x v="5"/>
    <x v="3"/>
    <x v="1"/>
    <s v="ChillVibes"/>
    <n v="3122"/>
    <n v="8.5063484278785892E-2"/>
    <m/>
    <m/>
    <m/>
  </r>
  <r>
    <s v="SP015"/>
    <x v="1"/>
    <d v="2024-05-06T00:00:00"/>
    <x v="0"/>
    <s v="Your weekend playlist is waiting."/>
    <n v="3476"/>
    <n v="355"/>
    <n v="396"/>
    <n v="37492"/>
    <n v="27285"/>
    <n v="179"/>
    <x v="5"/>
    <x v="3"/>
    <x v="1"/>
    <s v="ChillVibes"/>
    <n v="4227"/>
    <n v="0.11274405206444041"/>
    <m/>
    <m/>
    <m/>
  </r>
  <r>
    <s v="SP016"/>
    <x v="1"/>
    <d v="2024-12-29T00:00:00"/>
    <x v="1"/>
    <s v="New music just dropped. Hit play!"/>
    <n v="4049"/>
    <n v="377"/>
    <n v="94"/>
    <n v="48182"/>
    <n v="42875"/>
    <n v="172"/>
    <x v="2"/>
    <x v="2"/>
    <x v="0"/>
    <s v="ChillVibes"/>
    <n v="4520"/>
    <n v="9.3810966751068869E-2"/>
    <m/>
    <m/>
    <m/>
  </r>
  <r>
    <s v="SP017"/>
    <x v="1"/>
    <d v="2024-06-10T00:00:00"/>
    <x v="0"/>
    <s v="What's your vibe today? #SpotifyHits"/>
    <n v="1514"/>
    <n v="164"/>
    <n v="275"/>
    <n v="41364"/>
    <n v="44389"/>
    <n v="83"/>
    <x v="5"/>
    <x v="3"/>
    <x v="1"/>
    <s v="ChillVibes"/>
    <n v="1953"/>
    <n v="4.7214969538729328E-2"/>
    <m/>
    <m/>
    <m/>
  </r>
  <r>
    <s v="SP018"/>
    <x v="0"/>
    <d v="2024-02-03T00:00:00"/>
    <x v="1"/>
    <s v="Music that moves you only on Spotify."/>
    <n v="4281"/>
    <n v="101"/>
    <n v="163"/>
    <n v="32278"/>
    <n v="53382"/>
    <n v="235"/>
    <x v="5"/>
    <x v="3"/>
    <x v="1"/>
    <s v="Wrapped2024"/>
    <n v="4545"/>
    <n v="0.1408079806679472"/>
    <m/>
    <m/>
    <m/>
  </r>
  <r>
    <s v="SP019"/>
    <x v="2"/>
    <d v="2024-06-15T00:00:00"/>
    <x v="2"/>
    <s v="Get into the groove with our new drop!"/>
    <n v="1751"/>
    <n v="143"/>
    <n v="151"/>
    <n v="31826"/>
    <n v="47729"/>
    <n v="95"/>
    <x v="7"/>
    <x v="1"/>
    <x v="4"/>
    <s v="SummerBeats"/>
    <n v="2045"/>
    <n v="6.4255640042732362E-2"/>
    <m/>
    <m/>
    <m/>
  </r>
  <r>
    <s v="SP020"/>
    <x v="0"/>
    <d v="2024-07-05T00:00:00"/>
    <x v="0"/>
    <s v="Your weekend playlist is waiting."/>
    <n v="3753"/>
    <n v="411"/>
    <n v="308"/>
    <n v="29138"/>
    <n v="27678"/>
    <n v="90"/>
    <x v="1"/>
    <x v="1"/>
    <x v="1"/>
    <s v="IndieWave"/>
    <n v="4472"/>
    <n v="0.15347655981879332"/>
    <m/>
    <m/>
    <m/>
  </r>
  <r>
    <s v="SP021"/>
    <x v="0"/>
    <d v="2024-11-07T00:00:00"/>
    <x v="1"/>
    <s v="Wrapped is here! Relive your top tracks "/>
    <n v="1678"/>
    <n v="423"/>
    <n v="323"/>
    <n v="55668"/>
    <n v="37945"/>
    <n v="230"/>
    <x v="5"/>
    <x v="3"/>
    <x v="1"/>
    <s v="Wrapped2024"/>
    <n v="2424"/>
    <n v="4.3543867212761371E-2"/>
    <m/>
    <m/>
    <m/>
  </r>
  <r>
    <s v="SP022"/>
    <x v="0"/>
    <d v="2025-06-15T00:00:00"/>
    <x v="0"/>
    <s v="What's your vibe today? #SpotifyHits"/>
    <n v="4896"/>
    <n v="466"/>
    <n v="233"/>
    <n v="28621"/>
    <n v="34270"/>
    <n v="84"/>
    <x v="0"/>
    <x v="0"/>
    <x v="0"/>
    <s v="ChillVibes"/>
    <n v="5595"/>
    <n v="0.19548583208133888"/>
    <m/>
    <m/>
    <m/>
  </r>
  <r>
    <s v="SP023"/>
    <x v="2"/>
    <d v="2024-06-09T00:00:00"/>
    <x v="2"/>
    <s v="From pop to podcasts, its all here."/>
    <n v="2786"/>
    <n v="368"/>
    <n v="208"/>
    <n v="42000"/>
    <n v="39967"/>
    <n v="103"/>
    <x v="7"/>
    <x v="1"/>
    <x v="4"/>
    <s v="SummerBeats"/>
    <n v="3362"/>
    <n v="8.0047619047619048E-2"/>
    <m/>
    <m/>
    <m/>
  </r>
  <r>
    <s v="SP024"/>
    <x v="1"/>
    <d v="2024-10-18T00:00:00"/>
    <x v="0"/>
    <s v="New music just dropped. Hit play!"/>
    <n v="2607"/>
    <n v="379"/>
    <n v="180"/>
    <n v="28712"/>
    <n v="61620"/>
    <n v="174"/>
    <x v="6"/>
    <x v="0"/>
    <x v="1"/>
    <s v="IndieWave"/>
    <n v="3166"/>
    <n v="0.11026748397882419"/>
    <m/>
    <m/>
    <m/>
  </r>
  <r>
    <s v="SP025"/>
    <x v="2"/>
    <d v="2024-10-10T00:00:00"/>
    <x v="2"/>
    <s v="From pop to podcasts, its all here."/>
    <n v="4013"/>
    <n v="320"/>
    <n v="92"/>
    <n v="54605"/>
    <n v="60169"/>
    <n v="232"/>
    <x v="7"/>
    <x v="1"/>
    <x v="4"/>
    <s v="SummerBeats"/>
    <n v="4425"/>
    <n v="8.1036535115831879E-2"/>
    <m/>
    <m/>
    <m/>
  </r>
  <r>
    <s v="SP026"/>
    <x v="1"/>
    <d v="2025-05-14T00:00:00"/>
    <x v="1"/>
    <s v="From pop to podcasts, its all here."/>
    <n v="2707"/>
    <n v="103"/>
    <n v="51"/>
    <n v="55302"/>
    <n v="18801"/>
    <n v="147"/>
    <x v="4"/>
    <x v="1"/>
    <x v="3"/>
    <s v="ChillVibes"/>
    <n v="2861"/>
    <n v="5.173411449857148E-2"/>
    <m/>
    <m/>
    <m/>
  </r>
  <r>
    <s v="SP027"/>
    <x v="0"/>
    <d v="2024-11-29T00:00:00"/>
    <x v="0"/>
    <s v="What's your vibe today? #SpotifyHits"/>
    <n v="2824"/>
    <n v="425"/>
    <n v="274"/>
    <n v="31004"/>
    <n v="53488"/>
    <n v="268"/>
    <x v="0"/>
    <x v="0"/>
    <x v="0"/>
    <s v="ChillVibes"/>
    <n v="3523"/>
    <n v="0.11363049929041415"/>
    <m/>
    <m/>
    <m/>
  </r>
  <r>
    <s v="SP028"/>
    <x v="2"/>
    <d v="2024-03-05T00:00:00"/>
    <x v="2"/>
    <s v="Explore the latest podcasts now."/>
    <n v="3558"/>
    <n v="314"/>
    <n v="199"/>
    <n v="49612"/>
    <n v="53929"/>
    <n v="206"/>
    <x v="7"/>
    <x v="1"/>
    <x v="4"/>
    <s v="SummerBeats"/>
    <n v="4071"/>
    <n v="8.205676046117874E-2"/>
    <m/>
    <m/>
    <m/>
  </r>
  <r>
    <s v="SP029"/>
    <x v="1"/>
    <d v="2025-03-18T00:00:00"/>
    <x v="1"/>
    <s v="Explore the latest podcasts now."/>
    <n v="3418"/>
    <n v="188"/>
    <n v="387"/>
    <n v="57431"/>
    <n v="36933"/>
    <n v="202"/>
    <x v="2"/>
    <x v="2"/>
    <x v="0"/>
    <s v="ChillVibes"/>
    <n v="3993"/>
    <n v="6.9526910553533799E-2"/>
    <m/>
    <m/>
    <m/>
  </r>
  <r>
    <s v="SP030"/>
    <x v="1"/>
    <d v="2025-04-26T00:00:00"/>
    <x v="0"/>
    <s v="Discover fresh beats on Spotify!"/>
    <n v="2411"/>
    <n v="194"/>
    <n v="168"/>
    <n v="26665"/>
    <n v="71699"/>
    <n v="197"/>
    <x v="5"/>
    <x v="3"/>
    <x v="1"/>
    <s v="ChillVibes"/>
    <n v="2773"/>
    <n v="0.10399399962497656"/>
    <m/>
    <m/>
    <m/>
  </r>
  <r>
    <s v="SP031"/>
    <x v="0"/>
    <d v="2025-01-01T00:00:00"/>
    <x v="0"/>
    <s v="New music just dropped. Hit play!"/>
    <n v="4036"/>
    <n v="112"/>
    <n v="382"/>
    <n v="56284"/>
    <n v="29440"/>
    <n v="279"/>
    <x v="0"/>
    <x v="0"/>
    <x v="0"/>
    <s v="ChillVibes"/>
    <n v="4530"/>
    <n v="8.0484684812735408E-2"/>
    <m/>
    <m/>
    <m/>
  </r>
  <r>
    <s v="SP032"/>
    <x v="1"/>
    <d v="2024-05-07T00:00:00"/>
    <x v="1"/>
    <s v="Explore the latest podcasts now."/>
    <n v="2776"/>
    <n v="307"/>
    <n v="178"/>
    <n v="43365"/>
    <n v="48408"/>
    <n v="138"/>
    <x v="0"/>
    <x v="0"/>
    <x v="0"/>
    <s v="ChillVibes"/>
    <n v="3261"/>
    <n v="7.519889311656866E-2"/>
    <m/>
    <m/>
    <m/>
  </r>
  <r>
    <s v="SP033"/>
    <x v="1"/>
    <d v="2024-10-09T00:00:00"/>
    <x v="1"/>
    <s v="Discover fresh beats on Spotify!"/>
    <n v="4929"/>
    <n v="182"/>
    <n v="95"/>
    <n v="32181"/>
    <n v="31084"/>
    <n v="289"/>
    <x v="4"/>
    <x v="1"/>
    <x v="3"/>
    <s v="ChillVibes"/>
    <n v="5206"/>
    <n v="0.16177247444144061"/>
    <m/>
    <m/>
    <m/>
  </r>
  <r>
    <s v="SP034"/>
    <x v="0"/>
    <d v="2025-01-09T00:00:00"/>
    <x v="0"/>
    <s v="New music just dropped. Hit play!"/>
    <n v="1015"/>
    <n v="366"/>
    <n v="308"/>
    <n v="38127"/>
    <n v="63790"/>
    <n v="287"/>
    <x v="0"/>
    <x v="0"/>
    <x v="0"/>
    <s v="ChillVibes"/>
    <n v="1689"/>
    <n v="4.4299315445747112E-2"/>
    <m/>
    <m/>
    <m/>
  </r>
  <r>
    <s v="SP035"/>
    <x v="1"/>
    <d v="2025-05-08T00:00:00"/>
    <x v="1"/>
    <s v="Your weekend playlist is waiting."/>
    <n v="3316"/>
    <n v="332"/>
    <n v="268"/>
    <n v="40095"/>
    <n v="36913"/>
    <n v="265"/>
    <x v="2"/>
    <x v="2"/>
    <x v="0"/>
    <s v="ChillVibes"/>
    <n v="3916"/>
    <n v="9.7668038408779148E-2"/>
    <m/>
    <m/>
    <m/>
  </r>
  <r>
    <s v="SP036"/>
    <x v="0"/>
    <d v="2024-05-04T00:00:00"/>
    <x v="0"/>
    <s v="Wrapped is here! Relive your top tracks "/>
    <n v="2274"/>
    <n v="243"/>
    <n v="222"/>
    <n v="43066"/>
    <n v="59174"/>
    <n v="80"/>
    <x v="1"/>
    <x v="1"/>
    <x v="1"/>
    <s v="IndieWave"/>
    <n v="2739"/>
    <n v="6.3600055728416843E-2"/>
    <m/>
    <m/>
    <m/>
  </r>
  <r>
    <s v="SP037"/>
    <x v="1"/>
    <d v="2025-05-27T00:00:00"/>
    <x v="1"/>
    <s v="Explore the latest podcasts now."/>
    <n v="4095"/>
    <n v="385"/>
    <n v="400"/>
    <n v="45300"/>
    <n v="31795"/>
    <n v="80"/>
    <x v="2"/>
    <x v="2"/>
    <x v="0"/>
    <s v="ChillVibes"/>
    <n v="4880"/>
    <n v="0.10772626931567329"/>
    <m/>
    <m/>
    <m/>
  </r>
  <r>
    <s v="SP038"/>
    <x v="0"/>
    <d v="2024-09-10T00:00:00"/>
    <x v="1"/>
    <s v="New music just dropped. Hit play!"/>
    <n v="1230"/>
    <n v="309"/>
    <n v="207"/>
    <n v="44629"/>
    <n v="40699"/>
    <n v="195"/>
    <x v="5"/>
    <x v="3"/>
    <x v="1"/>
    <s v="Wrapped2024"/>
    <n v="1746"/>
    <n v="3.9122543637545096E-2"/>
    <m/>
    <m/>
    <m/>
  </r>
  <r>
    <s v="SP039"/>
    <x v="0"/>
    <d v="2024-11-25T00:00:00"/>
    <x v="0"/>
    <s v="From pop to podcasts, its all here."/>
    <n v="1341"/>
    <n v="472"/>
    <n v="238"/>
    <n v="51386"/>
    <n v="51706"/>
    <n v="133"/>
    <x v="1"/>
    <x v="1"/>
    <x v="1"/>
    <s v="IndieWave"/>
    <n v="2051"/>
    <n v="3.9913595142645857E-2"/>
    <m/>
    <m/>
    <m/>
  </r>
  <r>
    <s v="SP040"/>
    <x v="1"/>
    <d v="2025-06-10T00:00:00"/>
    <x v="0"/>
    <s v="Explore the latest podcasts now."/>
    <n v="3615"/>
    <n v="192"/>
    <n v="162"/>
    <n v="27492"/>
    <n v="35341"/>
    <n v="125"/>
    <x v="5"/>
    <x v="3"/>
    <x v="1"/>
    <s v="ChillVibes"/>
    <n v="3969"/>
    <n v="0.14436927106067218"/>
    <m/>
    <m/>
    <m/>
  </r>
  <r>
    <s v="SP041"/>
    <x v="0"/>
    <d v="2024-04-19T00:00:00"/>
    <x v="0"/>
    <s v="New music just dropped. Hit play!"/>
    <n v="4001"/>
    <n v="353"/>
    <n v="129"/>
    <n v="41265"/>
    <n v="37279"/>
    <n v="275"/>
    <x v="0"/>
    <x v="0"/>
    <x v="0"/>
    <s v="ChillVibes"/>
    <n v="4483"/>
    <n v="0.10863928268508422"/>
    <m/>
    <m/>
    <m/>
  </r>
  <r>
    <s v="SP042"/>
    <x v="0"/>
    <d v="2025-01-26T00:00:00"/>
    <x v="1"/>
    <s v="What's your vibe today? #SpotifyHits"/>
    <n v="3451"/>
    <n v="363"/>
    <n v="393"/>
    <n v="44853"/>
    <n v="69032"/>
    <n v="211"/>
    <x v="5"/>
    <x v="3"/>
    <x v="1"/>
    <s v="Wrapped2024"/>
    <n v="4207"/>
    <n v="9.379528682585335E-2"/>
    <m/>
    <m/>
    <m/>
  </r>
  <r>
    <s v="SP043"/>
    <x v="0"/>
    <d v="2025-02-14T00:00:00"/>
    <x v="0"/>
    <s v="Top trending tracks updated daily!"/>
    <n v="4891"/>
    <n v="450"/>
    <n v="387"/>
    <n v="48746"/>
    <n v="37312"/>
    <n v="154"/>
    <x v="0"/>
    <x v="0"/>
    <x v="0"/>
    <s v="ChillVibes"/>
    <n v="5728"/>
    <n v="0.11750707750379519"/>
    <m/>
    <m/>
    <m/>
  </r>
  <r>
    <s v="SP044"/>
    <x v="0"/>
    <d v="2024-09-06T00:00:00"/>
    <x v="0"/>
    <s v="New music just dropped. Hit play!"/>
    <n v="1452"/>
    <n v="281"/>
    <n v="326"/>
    <n v="51556"/>
    <n v="62599"/>
    <n v="290"/>
    <x v="1"/>
    <x v="1"/>
    <x v="1"/>
    <s v="IndieWave"/>
    <n v="2059"/>
    <n v="3.9937155714174881E-2"/>
    <m/>
    <m/>
    <m/>
  </r>
  <r>
    <s v="SP045"/>
    <x v="2"/>
    <d v="2024-07-14T00:00:00"/>
    <x v="0"/>
    <s v="Your weekend playlist is waiting."/>
    <n v="3806"/>
    <n v="114"/>
    <n v="278"/>
    <n v="36148"/>
    <n v="24209"/>
    <n v="201"/>
    <x v="3"/>
    <x v="1"/>
    <x v="2"/>
    <s v="IndieWave"/>
    <n v="4198"/>
    <n v="0.11613367267898639"/>
    <m/>
    <m/>
    <m/>
  </r>
  <r>
    <s v="SP046"/>
    <x v="0"/>
    <d v="2024-02-12T00:00:00"/>
    <x v="0"/>
    <s v="Explore the latest podcasts now."/>
    <n v="2923"/>
    <n v="330"/>
    <n v="250"/>
    <n v="23993"/>
    <n v="74590"/>
    <n v="92"/>
    <x v="1"/>
    <x v="1"/>
    <x v="1"/>
    <s v="IndieWave"/>
    <n v="3503"/>
    <n v="0.14600091693410577"/>
    <m/>
    <m/>
    <m/>
  </r>
  <r>
    <s v="SP047"/>
    <x v="2"/>
    <d v="2024-03-14T00:00:00"/>
    <x v="2"/>
    <s v="From pop to podcasts, its all here."/>
    <n v="3361"/>
    <n v="188"/>
    <n v="358"/>
    <n v="39838"/>
    <n v="24536"/>
    <n v="120"/>
    <x v="7"/>
    <x v="1"/>
    <x v="4"/>
    <s v="SummerBeats"/>
    <n v="3907"/>
    <n v="9.8072192379135503E-2"/>
    <m/>
    <m/>
    <m/>
  </r>
  <r>
    <s v="SP048"/>
    <x v="0"/>
    <d v="2025-02-05T00:00:00"/>
    <x v="1"/>
    <s v="Music that moves you only on Spotify."/>
    <n v="3074"/>
    <n v="371"/>
    <n v="348"/>
    <n v="24104"/>
    <n v="57803"/>
    <n v="213"/>
    <x v="5"/>
    <x v="3"/>
    <x v="1"/>
    <s v="Wrapped2024"/>
    <n v="3793"/>
    <n v="0.15735977431131762"/>
    <m/>
    <m/>
    <m/>
  </r>
  <r>
    <s v="SP049"/>
    <x v="1"/>
    <d v="2024-08-29T00:00:00"/>
    <x v="1"/>
    <s v="Get into the groove with our new drop!"/>
    <n v="4276"/>
    <n v="227"/>
    <n v="223"/>
    <n v="43443"/>
    <n v="41005"/>
    <n v="191"/>
    <x v="4"/>
    <x v="1"/>
    <x v="3"/>
    <s v="ChillVibes"/>
    <n v="4726"/>
    <n v="0.1087862256289851"/>
    <m/>
    <m/>
    <m/>
  </r>
  <r>
    <s v="SP050"/>
    <x v="1"/>
    <d v="2025-04-22T00:00:00"/>
    <x v="0"/>
    <s v="Discover fresh beats on Spotify!"/>
    <n v="4401"/>
    <n v="421"/>
    <n v="216"/>
    <n v="24890"/>
    <n v="54361"/>
    <n v="148"/>
    <x v="5"/>
    <x v="3"/>
    <x v="1"/>
    <s v="ChillVibes"/>
    <n v="5038"/>
    <n v="0.20241060666934513"/>
    <m/>
    <m/>
    <m/>
  </r>
  <r>
    <s v="SP051"/>
    <x v="2"/>
    <d v="2024-05-13T00:00:00"/>
    <x v="2"/>
    <s v="Explore the latest podcasts now."/>
    <n v="4161"/>
    <n v="481"/>
    <n v="61"/>
    <n v="45884"/>
    <n v="48955"/>
    <n v="215"/>
    <x v="7"/>
    <x v="1"/>
    <x v="4"/>
    <s v="SummerBeats"/>
    <n v="4703"/>
    <n v="0.10249760265016128"/>
    <m/>
    <m/>
    <m/>
  </r>
  <r>
    <s v="SP052"/>
    <x v="1"/>
    <d v="2024-09-04T00:00:00"/>
    <x v="1"/>
    <s v="New music just dropped. Hit play!"/>
    <n v="2613"/>
    <n v="455"/>
    <n v="228"/>
    <n v="21645"/>
    <n v="61334"/>
    <n v="261"/>
    <x v="4"/>
    <x v="1"/>
    <x v="3"/>
    <s v="ChillVibes"/>
    <n v="3296"/>
    <n v="0.15227535227535227"/>
    <m/>
    <m/>
    <m/>
  </r>
  <r>
    <s v="SP053"/>
    <x v="1"/>
    <d v="2024-08-12T00:00:00"/>
    <x v="1"/>
    <s v="What's your vibe today? #SpotifyHits"/>
    <n v="2842"/>
    <n v="213"/>
    <n v="331"/>
    <n v="57660"/>
    <n v="68606"/>
    <n v="87"/>
    <x v="2"/>
    <x v="2"/>
    <x v="0"/>
    <s v="ChillVibes"/>
    <n v="3386"/>
    <n v="5.8723551855705859E-2"/>
    <m/>
    <m/>
    <m/>
  </r>
  <r>
    <s v="SP054"/>
    <x v="0"/>
    <d v="2025-03-06T00:00:00"/>
    <x v="0"/>
    <s v="Get into the groove with our new drop!"/>
    <n v="4851"/>
    <n v="460"/>
    <n v="212"/>
    <n v="58075"/>
    <n v="59574"/>
    <n v="239"/>
    <x v="1"/>
    <x v="1"/>
    <x v="1"/>
    <s v="IndieWave"/>
    <n v="5523"/>
    <n v="9.5101162290142052E-2"/>
    <m/>
    <m/>
    <m/>
  </r>
  <r>
    <s v="SP055"/>
    <x v="1"/>
    <d v="2024-05-08T00:00:00"/>
    <x v="0"/>
    <s v="Explore the latest podcasts now."/>
    <n v="1828"/>
    <n v="450"/>
    <n v="214"/>
    <n v="52115"/>
    <n v="19166"/>
    <n v="190"/>
    <x v="5"/>
    <x v="3"/>
    <x v="1"/>
    <s v="ChillVibes"/>
    <n v="2492"/>
    <n v="4.781732706514439E-2"/>
    <m/>
    <m/>
    <m/>
  </r>
  <r>
    <s v="SP056"/>
    <x v="0"/>
    <d v="2025-02-19T00:00:00"/>
    <x v="1"/>
    <s v="From pop to podcasts, its all here."/>
    <n v="2422"/>
    <n v="455"/>
    <n v="376"/>
    <n v="23428"/>
    <n v="46775"/>
    <n v="259"/>
    <x v="5"/>
    <x v="3"/>
    <x v="1"/>
    <s v="Wrapped2024"/>
    <n v="3253"/>
    <n v="0.13885094758408742"/>
    <m/>
    <m/>
    <m/>
  </r>
  <r>
    <s v="SP057"/>
    <x v="0"/>
    <d v="2024-01-08T00:00:00"/>
    <x v="0"/>
    <s v="Top trending tracks updated daily!"/>
    <n v="2683"/>
    <n v="405"/>
    <n v="223"/>
    <n v="31233"/>
    <n v="58106"/>
    <n v="291"/>
    <x v="1"/>
    <x v="1"/>
    <x v="1"/>
    <s v="IndieWave"/>
    <n v="3311"/>
    <n v="0.10600966926007749"/>
    <m/>
    <m/>
    <m/>
  </r>
  <r>
    <s v="SP058"/>
    <x v="2"/>
    <d v="2024-07-17T00:00:00"/>
    <x v="0"/>
    <s v="Top trending tracks updated daily!"/>
    <n v="3135"/>
    <n v="110"/>
    <n v="215"/>
    <n v="39192"/>
    <n v="24744"/>
    <n v="177"/>
    <x v="3"/>
    <x v="1"/>
    <x v="2"/>
    <s v="IndieWave"/>
    <n v="3460"/>
    <n v="8.8283323127168814E-2"/>
    <m/>
    <m/>
    <m/>
  </r>
  <r>
    <s v="SP059"/>
    <x v="2"/>
    <d v="2024-08-10T00:00:00"/>
    <x v="0"/>
    <s v="From pop to podcasts, its all here."/>
    <n v="1105"/>
    <n v="181"/>
    <n v="55"/>
    <n v="53581"/>
    <n v="74048"/>
    <n v="220"/>
    <x v="3"/>
    <x v="1"/>
    <x v="2"/>
    <s v="IndieWave"/>
    <n v="1341"/>
    <n v="2.50275284149232E-2"/>
    <m/>
    <m/>
    <m/>
  </r>
  <r>
    <s v="SP060"/>
    <x v="2"/>
    <d v="2024-04-16T00:00:00"/>
    <x v="0"/>
    <s v="Discover fresh beats on Spotify!"/>
    <n v="4674"/>
    <n v="326"/>
    <n v="62"/>
    <n v="45503"/>
    <n v="46814"/>
    <n v="116"/>
    <x v="3"/>
    <x v="1"/>
    <x v="2"/>
    <s v="IndieWave"/>
    <n v="5062"/>
    <n v="0.11124541239039185"/>
    <m/>
    <m/>
    <m/>
  </r>
  <r>
    <s v="SP061"/>
    <x v="2"/>
    <d v="2024-01-01T00:00:00"/>
    <x v="2"/>
    <s v="Explore the latest podcasts now."/>
    <n v="3437"/>
    <n v="129"/>
    <n v="359"/>
    <n v="44558"/>
    <n v="30854"/>
    <n v="171"/>
    <x v="7"/>
    <x v="1"/>
    <x v="4"/>
    <s v="SummerBeats"/>
    <n v="3925"/>
    <n v="8.8087436599488311E-2"/>
    <m/>
    <m/>
    <m/>
  </r>
  <r>
    <s v="SP062"/>
    <x v="1"/>
    <d v="2024-11-03T00:00:00"/>
    <x v="1"/>
    <s v="Wrapped is here! Relive your top tracks "/>
    <n v="1959"/>
    <n v="316"/>
    <n v="82"/>
    <n v="54036"/>
    <n v="69015"/>
    <n v="182"/>
    <x v="2"/>
    <x v="2"/>
    <x v="0"/>
    <s v="ChillVibes"/>
    <n v="2357"/>
    <n v="4.3619068768968837E-2"/>
    <m/>
    <m/>
    <m/>
  </r>
  <r>
    <s v="SP063"/>
    <x v="1"/>
    <d v="2024-07-07T00:00:00"/>
    <x v="0"/>
    <s v="New music just dropped. Hit play!"/>
    <n v="1035"/>
    <n v="137"/>
    <n v="184"/>
    <n v="37302"/>
    <n v="68953"/>
    <n v="237"/>
    <x v="6"/>
    <x v="0"/>
    <x v="1"/>
    <s v="IndieWave"/>
    <n v="1356"/>
    <n v="3.6351938233874857E-2"/>
    <m/>
    <m/>
    <m/>
  </r>
  <r>
    <s v="SP064"/>
    <x v="1"/>
    <d v="2025-01-22T00:00:00"/>
    <x v="1"/>
    <s v="New music just dropped. Hit play!"/>
    <n v="4478"/>
    <n v="101"/>
    <n v="121"/>
    <n v="51035"/>
    <n v="58207"/>
    <n v="205"/>
    <x v="2"/>
    <x v="2"/>
    <x v="0"/>
    <s v="ChillVibes"/>
    <n v="4700"/>
    <n v="9.2093661212893113E-2"/>
    <m/>
    <m/>
    <m/>
  </r>
  <r>
    <s v="SP065"/>
    <x v="2"/>
    <d v="2024-05-26T00:00:00"/>
    <x v="0"/>
    <s v="From pop to podcasts, its all here."/>
    <n v="1488"/>
    <n v="327"/>
    <n v="110"/>
    <n v="53805"/>
    <n v="30239"/>
    <n v="109"/>
    <x v="3"/>
    <x v="1"/>
    <x v="2"/>
    <s v="IndieWave"/>
    <n v="1925"/>
    <n v="3.5777344113000653E-2"/>
    <m/>
    <m/>
    <m/>
  </r>
  <r>
    <s v="SP066"/>
    <x v="0"/>
    <d v="2025-04-16T00:00:00"/>
    <x v="0"/>
    <s v="Wrapped is here! Relive your top tracks "/>
    <n v="4836"/>
    <n v="331"/>
    <n v="140"/>
    <n v="58792"/>
    <n v="47711"/>
    <n v="227"/>
    <x v="0"/>
    <x v="0"/>
    <x v="0"/>
    <s v="ChillVibes"/>
    <n v="5307"/>
    <n v="9.0267383317458164E-2"/>
    <m/>
    <m/>
    <m/>
  </r>
  <r>
    <s v="SP067"/>
    <x v="2"/>
    <d v="2024-04-02T00:00:00"/>
    <x v="2"/>
    <s v="Your weekend playlist is waiting."/>
    <n v="4563"/>
    <n v="488"/>
    <n v="356"/>
    <n v="30619"/>
    <n v="23328"/>
    <n v="267"/>
    <x v="7"/>
    <x v="1"/>
    <x v="4"/>
    <s v="SummerBeats"/>
    <n v="5407"/>
    <n v="0.17658969920637513"/>
    <m/>
    <m/>
    <m/>
  </r>
  <r>
    <s v="SP068"/>
    <x v="1"/>
    <d v="2024-03-28T00:00:00"/>
    <x v="0"/>
    <s v="Music that moves you only on Spotify."/>
    <n v="3276"/>
    <n v="421"/>
    <n v="114"/>
    <n v="20580"/>
    <n v="30324"/>
    <n v="221"/>
    <x v="6"/>
    <x v="0"/>
    <x v="1"/>
    <s v="IndieWave"/>
    <n v="3811"/>
    <n v="0.18517978620019437"/>
    <m/>
    <m/>
    <m/>
  </r>
  <r>
    <s v="SP069"/>
    <x v="1"/>
    <d v="2024-12-17T00:00:00"/>
    <x v="1"/>
    <s v="Music that moves you only on Spotify."/>
    <n v="1316"/>
    <n v="472"/>
    <n v="286"/>
    <n v="44692"/>
    <n v="53343"/>
    <n v="227"/>
    <x v="4"/>
    <x v="1"/>
    <x v="3"/>
    <s v="ChillVibes"/>
    <n v="2074"/>
    <n v="4.6406515707509172E-2"/>
    <m/>
    <m/>
    <m/>
  </r>
  <r>
    <s v="SP070"/>
    <x v="1"/>
    <d v="2025-01-05T00:00:00"/>
    <x v="0"/>
    <s v="Wrapped is here! Relive your top tracks "/>
    <n v="4811"/>
    <n v="473"/>
    <n v="254"/>
    <n v="51964"/>
    <n v="68795"/>
    <n v="107"/>
    <x v="5"/>
    <x v="3"/>
    <x v="1"/>
    <s v="ChillVibes"/>
    <n v="5538"/>
    <n v="0.10657378184897237"/>
    <m/>
    <m/>
    <m/>
  </r>
  <r>
    <s v="SP071"/>
    <x v="1"/>
    <d v="2024-01-11T00:00:00"/>
    <x v="0"/>
    <s v="What's your vibe today? #SpotifyHits"/>
    <n v="4218"/>
    <n v="247"/>
    <n v="183"/>
    <n v="28914"/>
    <n v="18310"/>
    <n v="135"/>
    <x v="6"/>
    <x v="0"/>
    <x v="1"/>
    <s v="IndieWave"/>
    <n v="4648"/>
    <n v="0.1607525766064882"/>
    <m/>
    <m/>
    <m/>
  </r>
  <r>
    <s v="SP072"/>
    <x v="0"/>
    <d v="2024-10-11T00:00:00"/>
    <x v="0"/>
    <s v="From pop to podcasts, its all here."/>
    <n v="1360"/>
    <n v="249"/>
    <n v="52"/>
    <n v="20368"/>
    <n v="42152"/>
    <n v="193"/>
    <x v="1"/>
    <x v="1"/>
    <x v="1"/>
    <s v="IndieWave"/>
    <n v="1661"/>
    <n v="8.1549489395129612E-2"/>
    <m/>
    <m/>
    <m/>
  </r>
  <r>
    <s v="SP073"/>
    <x v="2"/>
    <d v="2025-05-06T00:00:00"/>
    <x v="2"/>
    <s v="Discover fresh beats on Spotify!"/>
    <n v="1085"/>
    <n v="496"/>
    <n v="320"/>
    <n v="36528"/>
    <n v="38599"/>
    <n v="270"/>
    <x v="7"/>
    <x v="1"/>
    <x v="4"/>
    <s v="SummerBeats"/>
    <n v="1901"/>
    <n v="5.2042268944371438E-2"/>
    <m/>
    <m/>
    <m/>
  </r>
  <r>
    <s v="SP074"/>
    <x v="1"/>
    <d v="2024-05-19T00:00:00"/>
    <x v="1"/>
    <s v="Get into the groove with our new drop!"/>
    <n v="1763"/>
    <n v="206"/>
    <n v="187"/>
    <n v="53342"/>
    <n v="25095"/>
    <n v="88"/>
    <x v="4"/>
    <x v="1"/>
    <x v="3"/>
    <s v="ChillVibes"/>
    <n v="2156"/>
    <n v="4.0418432004799221E-2"/>
    <m/>
    <m/>
    <m/>
  </r>
  <r>
    <s v="SP075"/>
    <x v="1"/>
    <d v="2024-01-22T00:00:00"/>
    <x v="1"/>
    <s v="From pop to podcasts, its all here."/>
    <n v="1554"/>
    <n v="455"/>
    <n v="158"/>
    <n v="41947"/>
    <n v="48578"/>
    <n v="101"/>
    <x v="0"/>
    <x v="0"/>
    <x v="0"/>
    <s v="ChillVibes"/>
    <n v="2167"/>
    <n v="5.1660428636136076E-2"/>
    <m/>
    <m/>
    <m/>
  </r>
  <r>
    <s v="SP076"/>
    <x v="0"/>
    <d v="2024-07-14T00:00:00"/>
    <x v="0"/>
    <s v="Wrapped is here! Relive your top tracks "/>
    <n v="2464"/>
    <n v="401"/>
    <n v="78"/>
    <n v="38665"/>
    <n v="73593"/>
    <n v="207"/>
    <x v="1"/>
    <x v="1"/>
    <x v="1"/>
    <s v="IndieWave"/>
    <n v="2943"/>
    <n v="7.611534979956032E-2"/>
    <m/>
    <m/>
    <m/>
  </r>
  <r>
    <s v="SP077"/>
    <x v="1"/>
    <d v="2025-05-28T00:00:00"/>
    <x v="0"/>
    <s v="From pop to podcasts, its all here."/>
    <n v="2418"/>
    <n v="161"/>
    <n v="360"/>
    <n v="30589"/>
    <n v="41383"/>
    <n v="88"/>
    <x v="5"/>
    <x v="3"/>
    <x v="1"/>
    <s v="ChillVibes"/>
    <n v="2939"/>
    <n v="9.6080290300434801E-2"/>
    <m/>
    <m/>
    <m/>
  </r>
  <r>
    <s v="SP078"/>
    <x v="1"/>
    <d v="2025-01-21T00:00:00"/>
    <x v="1"/>
    <s v="Discover fresh beats on Spotify!"/>
    <n v="2494"/>
    <n v="494"/>
    <n v="55"/>
    <n v="22580"/>
    <n v="22214"/>
    <n v="109"/>
    <x v="2"/>
    <x v="2"/>
    <x v="0"/>
    <s v="ChillVibes"/>
    <n v="3043"/>
    <n v="0.13476527900797167"/>
    <m/>
    <m/>
    <m/>
  </r>
  <r>
    <s v="SP079"/>
    <x v="2"/>
    <d v="2024-01-13T00:00:00"/>
    <x v="2"/>
    <s v="New music just dropped. Hit play!"/>
    <n v="4781"/>
    <n v="191"/>
    <n v="122"/>
    <n v="35535"/>
    <n v="50777"/>
    <n v="128"/>
    <x v="7"/>
    <x v="1"/>
    <x v="4"/>
    <s v="SummerBeats"/>
    <n v="5094"/>
    <n v="0.14335162515829464"/>
    <m/>
    <m/>
    <m/>
  </r>
  <r>
    <s v="SP080"/>
    <x v="0"/>
    <d v="2025-06-17T00:00:00"/>
    <x v="0"/>
    <s v="Music that moves you only on Spotify."/>
    <n v="2284"/>
    <n v="187"/>
    <n v="260"/>
    <n v="37400"/>
    <n v="65014"/>
    <n v="157"/>
    <x v="0"/>
    <x v="0"/>
    <x v="0"/>
    <s v="ChillVibes"/>
    <n v="2731"/>
    <n v="7.3021390374331557E-2"/>
    <m/>
    <m/>
    <m/>
  </r>
  <r>
    <s v="SP081"/>
    <x v="1"/>
    <d v="2025-03-07T00:00:00"/>
    <x v="0"/>
    <s v="Get into the groove with our new drop!"/>
    <n v="4234"/>
    <n v="486"/>
    <n v="276"/>
    <n v="56623"/>
    <n v="41343"/>
    <n v="184"/>
    <x v="6"/>
    <x v="0"/>
    <x v="1"/>
    <s v="IndieWave"/>
    <n v="4996"/>
    <n v="8.8232696960599044E-2"/>
    <m/>
    <m/>
    <m/>
  </r>
  <r>
    <s v="SP082"/>
    <x v="0"/>
    <d v="2024-08-26T00:00:00"/>
    <x v="0"/>
    <s v="Your weekend playlist is waiting."/>
    <n v="2102"/>
    <n v="181"/>
    <n v="306"/>
    <n v="43650"/>
    <n v="50079"/>
    <n v="182"/>
    <x v="1"/>
    <x v="1"/>
    <x v="1"/>
    <s v="IndieWave"/>
    <n v="2589"/>
    <n v="5.9312714776632303E-2"/>
    <m/>
    <m/>
    <m/>
  </r>
  <r>
    <s v="SP083"/>
    <x v="1"/>
    <d v="2025-01-03T00:00:00"/>
    <x v="1"/>
    <s v="Get into the groove with our new drop!"/>
    <n v="4845"/>
    <n v="158"/>
    <n v="84"/>
    <n v="34578"/>
    <n v="51480"/>
    <n v="180"/>
    <x v="0"/>
    <x v="0"/>
    <x v="0"/>
    <s v="ChillVibes"/>
    <n v="5087"/>
    <n v="0.1471166637746544"/>
    <m/>
    <m/>
    <m/>
  </r>
  <r>
    <s v="SP084"/>
    <x v="1"/>
    <d v="2024-08-03T00:00:00"/>
    <x v="0"/>
    <s v="Your weekend playlist is waiting."/>
    <n v="4247"/>
    <n v="390"/>
    <n v="213"/>
    <n v="29785"/>
    <n v="57768"/>
    <n v="122"/>
    <x v="5"/>
    <x v="3"/>
    <x v="1"/>
    <s v="ChillVibes"/>
    <n v="4850"/>
    <n v="0.16283364109451065"/>
    <m/>
    <m/>
    <m/>
  </r>
  <r>
    <s v="SP085"/>
    <x v="0"/>
    <d v="2024-08-18T00:00:00"/>
    <x v="0"/>
    <s v="Explore the latest podcasts now."/>
    <n v="2965"/>
    <n v="328"/>
    <n v="171"/>
    <n v="57685"/>
    <n v="67536"/>
    <n v="264"/>
    <x v="0"/>
    <x v="0"/>
    <x v="0"/>
    <s v="ChillVibes"/>
    <n v="3464"/>
    <n v="6.0050273034584378E-2"/>
    <m/>
    <m/>
    <m/>
  </r>
  <r>
    <s v="SP086"/>
    <x v="1"/>
    <d v="2025-05-14T00:00:00"/>
    <x v="1"/>
    <s v="Wrapped is here! Relive your top tracks "/>
    <n v="1371"/>
    <n v="139"/>
    <n v="96"/>
    <n v="36140"/>
    <n v="39395"/>
    <n v="169"/>
    <x v="0"/>
    <x v="0"/>
    <x v="0"/>
    <s v="ChillVibes"/>
    <n v="1606"/>
    <n v="4.4438295517432211E-2"/>
    <m/>
    <m/>
    <m/>
  </r>
  <r>
    <s v="SP087"/>
    <x v="1"/>
    <d v="2024-04-23T00:00:00"/>
    <x v="1"/>
    <s v="Discover fresh beats on Spotify!"/>
    <n v="2683"/>
    <n v="496"/>
    <n v="89"/>
    <n v="53435"/>
    <n v="30334"/>
    <n v="160"/>
    <x v="0"/>
    <x v="0"/>
    <x v="0"/>
    <s v="ChillVibes"/>
    <n v="3268"/>
    <n v="6.1158416768035934E-2"/>
    <m/>
    <m/>
    <m/>
  </r>
  <r>
    <s v="SP088"/>
    <x v="1"/>
    <d v="2025-02-17T00:00:00"/>
    <x v="1"/>
    <s v="What's your vibe today? #SpotifyHits"/>
    <n v="4796"/>
    <n v="427"/>
    <n v="339"/>
    <n v="30752"/>
    <n v="33870"/>
    <n v="298"/>
    <x v="0"/>
    <x v="0"/>
    <x v="0"/>
    <s v="ChillVibes"/>
    <n v="5562"/>
    <n v="0.18086628511966701"/>
    <m/>
    <m/>
    <m/>
  </r>
  <r>
    <s v="SP089"/>
    <x v="0"/>
    <d v="2024-12-04T00:00:00"/>
    <x v="0"/>
    <s v="Wrapped is here! Relive your top tracks "/>
    <n v="2601"/>
    <n v="336"/>
    <n v="260"/>
    <n v="32368"/>
    <n v="49028"/>
    <n v="120"/>
    <x v="0"/>
    <x v="0"/>
    <x v="0"/>
    <s v="ChillVibes"/>
    <n v="3197"/>
    <n v="9.8770390509144837E-2"/>
    <m/>
    <m/>
    <m/>
  </r>
  <r>
    <s v="SP090"/>
    <x v="1"/>
    <d v="2024-07-22T00:00:00"/>
    <x v="1"/>
    <s v="Wrapped is here! Relive your top tracks "/>
    <n v="3336"/>
    <n v="229"/>
    <n v="337"/>
    <n v="22117"/>
    <n v="26205"/>
    <n v="160"/>
    <x v="2"/>
    <x v="2"/>
    <x v="0"/>
    <s v="ChillVibes"/>
    <n v="3902"/>
    <n v="0.17642537414658407"/>
    <m/>
    <m/>
    <m/>
  </r>
  <r>
    <s v="SP091"/>
    <x v="1"/>
    <d v="2025-04-27T00:00:00"/>
    <x v="0"/>
    <s v="Explore the latest podcasts now."/>
    <n v="1165"/>
    <n v="294"/>
    <n v="163"/>
    <n v="20659"/>
    <n v="45926"/>
    <n v="111"/>
    <x v="6"/>
    <x v="0"/>
    <x v="1"/>
    <s v="IndieWave"/>
    <n v="1622"/>
    <n v="7.8512996756861422E-2"/>
    <m/>
    <m/>
    <m/>
  </r>
  <r>
    <s v="SP092"/>
    <x v="2"/>
    <d v="2024-03-25T00:00:00"/>
    <x v="2"/>
    <s v="Explore the latest podcasts now."/>
    <n v="1948"/>
    <n v="155"/>
    <n v="315"/>
    <n v="30321"/>
    <n v="57121"/>
    <n v="82"/>
    <x v="7"/>
    <x v="1"/>
    <x v="4"/>
    <s v="SummerBeats"/>
    <n v="2418"/>
    <n v="7.974671020085089E-2"/>
    <m/>
    <m/>
    <m/>
  </r>
  <r>
    <s v="SP093"/>
    <x v="0"/>
    <d v="2024-02-29T00:00:00"/>
    <x v="0"/>
    <s v="From pop to podcasts, its all here."/>
    <n v="1100"/>
    <n v="229"/>
    <n v="312"/>
    <n v="25641"/>
    <n v="34601"/>
    <n v="169"/>
    <x v="1"/>
    <x v="1"/>
    <x v="1"/>
    <s v="IndieWave"/>
    <n v="1641"/>
    <n v="6.3999063999063993E-2"/>
    <m/>
    <m/>
    <m/>
  </r>
  <r>
    <s v="SP094"/>
    <x v="1"/>
    <d v="2024-11-13T00:00:00"/>
    <x v="1"/>
    <s v="Top trending tracks updated daily!"/>
    <n v="4628"/>
    <n v="257"/>
    <n v="397"/>
    <n v="36686"/>
    <n v="54683"/>
    <n v="98"/>
    <x v="0"/>
    <x v="0"/>
    <x v="0"/>
    <s v="ChillVibes"/>
    <n v="5282"/>
    <n v="0.1439786294499264"/>
    <m/>
    <m/>
    <m/>
  </r>
  <r>
    <s v="SP095"/>
    <x v="0"/>
    <d v="2024-03-22T00:00:00"/>
    <x v="1"/>
    <s v="Discover fresh beats on Spotify!"/>
    <n v="2319"/>
    <n v="484"/>
    <n v="193"/>
    <n v="21202"/>
    <n v="18091"/>
    <n v="241"/>
    <x v="5"/>
    <x v="3"/>
    <x v="1"/>
    <s v="Wrapped2024"/>
    <n v="2996"/>
    <n v="0.14130742382794076"/>
    <m/>
    <m/>
    <m/>
  </r>
  <r>
    <s v="SP096"/>
    <x v="1"/>
    <d v="2024-03-16T00:00:00"/>
    <x v="1"/>
    <s v="Wrapped is here! Relive your top tracks "/>
    <n v="2895"/>
    <n v="292"/>
    <n v="90"/>
    <n v="24223"/>
    <n v="54626"/>
    <n v="114"/>
    <x v="0"/>
    <x v="0"/>
    <x v="0"/>
    <s v="ChillVibes"/>
    <n v="3277"/>
    <n v="0.13528464682326713"/>
    <m/>
    <m/>
    <m/>
  </r>
  <r>
    <s v="SP097"/>
    <x v="0"/>
    <d v="2024-01-26T00:00:00"/>
    <x v="0"/>
    <s v="What's your vibe today? #SpotifyHits"/>
    <n v="3878"/>
    <n v="431"/>
    <n v="97"/>
    <n v="41763"/>
    <n v="29729"/>
    <n v="191"/>
    <x v="1"/>
    <x v="1"/>
    <x v="1"/>
    <s v="IndieWave"/>
    <n v="4406"/>
    <n v="0.10550008380623997"/>
    <m/>
    <m/>
    <m/>
  </r>
  <r>
    <s v="SP098"/>
    <x v="1"/>
    <d v="2024-03-15T00:00:00"/>
    <x v="1"/>
    <s v="Get into the groove with our new drop!"/>
    <n v="4969"/>
    <n v="433"/>
    <n v="237"/>
    <n v="59552"/>
    <n v="23885"/>
    <n v="157"/>
    <x v="4"/>
    <x v="1"/>
    <x v="3"/>
    <s v="ChillVibes"/>
    <n v="5639"/>
    <n v="9.4690354648038683E-2"/>
    <m/>
    <m/>
    <m/>
  </r>
  <r>
    <s v="SP099"/>
    <x v="1"/>
    <d v="2024-10-15T00:00:00"/>
    <x v="0"/>
    <s v="Wrapped is here! Relive your top tracks "/>
    <n v="1984"/>
    <n v="481"/>
    <n v="356"/>
    <n v="40681"/>
    <n v="63111"/>
    <n v="258"/>
    <x v="5"/>
    <x v="3"/>
    <x v="1"/>
    <s v="ChillVibes"/>
    <n v="2821"/>
    <n v="6.934441139598338E-2"/>
    <m/>
    <m/>
    <m/>
  </r>
  <r>
    <s v="SP100"/>
    <x v="0"/>
    <d v="2024-07-21T00:00:00"/>
    <x v="0"/>
    <s v="Discover fresh beats on Spotify!"/>
    <n v="3004"/>
    <n v="415"/>
    <n v="218"/>
    <n v="36090"/>
    <n v="37073"/>
    <n v="181"/>
    <x v="1"/>
    <x v="1"/>
    <x v="1"/>
    <s v="IndieWave"/>
    <n v="3637"/>
    <n v="0.10077583818232197"/>
    <m/>
    <m/>
    <m/>
  </r>
  <r>
    <s v="SP101"/>
    <x v="1"/>
    <d v="2024-10-12T00:00:00"/>
    <x v="0"/>
    <s v="Get into the groove with our new drop!"/>
    <n v="3169"/>
    <n v="386"/>
    <n v="175"/>
    <n v="45012"/>
    <n v="38508"/>
    <n v="218"/>
    <x v="5"/>
    <x v="3"/>
    <x v="1"/>
    <s v="ChillVibes"/>
    <n v="3730"/>
    <n v="8.2866791077934779E-2"/>
    <m/>
    <m/>
    <m/>
  </r>
  <r>
    <s v="SP102"/>
    <x v="1"/>
    <d v="2024-10-26T00:00:00"/>
    <x v="0"/>
    <s v="Discover fresh beats on Spotify!"/>
    <n v="3036"/>
    <n v="293"/>
    <n v="115"/>
    <n v="23776"/>
    <n v="46386"/>
    <n v="282"/>
    <x v="5"/>
    <x v="3"/>
    <x v="1"/>
    <s v="ChillVibes"/>
    <n v="3444"/>
    <n v="0.14485195154777927"/>
    <m/>
    <m/>
    <m/>
  </r>
  <r>
    <s v="SP103"/>
    <x v="0"/>
    <d v="2024-02-14T00:00:00"/>
    <x v="0"/>
    <s v="Music that moves you only on Spotify."/>
    <n v="1830"/>
    <n v="112"/>
    <n v="181"/>
    <n v="31870"/>
    <n v="55742"/>
    <n v="263"/>
    <x v="0"/>
    <x v="0"/>
    <x v="0"/>
    <s v="ChillVibes"/>
    <n v="2123"/>
    <n v="6.6614370881706936E-2"/>
    <m/>
    <m/>
    <m/>
  </r>
  <r>
    <s v="SP104"/>
    <x v="1"/>
    <d v="2024-05-01T00:00:00"/>
    <x v="1"/>
    <s v="What's your vibe today? #SpotifyHits"/>
    <n v="2587"/>
    <n v="447"/>
    <n v="183"/>
    <n v="36266"/>
    <n v="32877"/>
    <n v="132"/>
    <x v="4"/>
    <x v="1"/>
    <x v="3"/>
    <s v="ChillVibes"/>
    <n v="3217"/>
    <n v="8.8705674736667947E-2"/>
    <m/>
    <m/>
    <m/>
  </r>
  <r>
    <s v="SP105"/>
    <x v="1"/>
    <d v="2024-09-18T00:00:00"/>
    <x v="0"/>
    <s v="Discover fresh beats on Spotify!"/>
    <n v="2878"/>
    <n v="265"/>
    <n v="91"/>
    <n v="52090"/>
    <n v="28924"/>
    <n v="133"/>
    <x v="5"/>
    <x v="3"/>
    <x v="1"/>
    <s v="ChillVibes"/>
    <n v="3234"/>
    <n v="6.2084853138798232E-2"/>
    <m/>
    <m/>
    <m/>
  </r>
  <r>
    <s v="SP106"/>
    <x v="1"/>
    <d v="2025-01-20T00:00:00"/>
    <x v="1"/>
    <s v="New music just dropped. Hit play!"/>
    <n v="4619"/>
    <n v="272"/>
    <n v="57"/>
    <n v="21334"/>
    <n v="46292"/>
    <n v="91"/>
    <x v="0"/>
    <x v="0"/>
    <x v="0"/>
    <s v="ChillVibes"/>
    <n v="4948"/>
    <n v="0.23193025217961938"/>
    <m/>
    <m/>
    <m/>
  </r>
  <r>
    <s v="SP107"/>
    <x v="1"/>
    <d v="2025-01-13T00:00:00"/>
    <x v="0"/>
    <s v="Music that moves you only on Spotify."/>
    <n v="4090"/>
    <n v="209"/>
    <n v="278"/>
    <n v="52853"/>
    <n v="57084"/>
    <n v="102"/>
    <x v="6"/>
    <x v="0"/>
    <x v="1"/>
    <s v="IndieWave"/>
    <n v="4577"/>
    <n v="8.6598679355949518E-2"/>
    <m/>
    <m/>
    <m/>
  </r>
  <r>
    <s v="SP108"/>
    <x v="2"/>
    <d v="2024-09-07T00:00:00"/>
    <x v="2"/>
    <s v="Music that moves you only on Spotify."/>
    <n v="3882"/>
    <n v="342"/>
    <n v="374"/>
    <n v="41991"/>
    <n v="48554"/>
    <n v="118"/>
    <x v="7"/>
    <x v="1"/>
    <x v="4"/>
    <s v="SummerBeats"/>
    <n v="4598"/>
    <n v="0.10949965468790931"/>
    <m/>
    <m/>
    <m/>
  </r>
  <r>
    <s v="SP109"/>
    <x v="0"/>
    <d v="2024-11-21T00:00:00"/>
    <x v="0"/>
    <s v="Music that moves you only on Spotify."/>
    <n v="4581"/>
    <n v="181"/>
    <n v="112"/>
    <n v="35221"/>
    <n v="28797"/>
    <n v="164"/>
    <x v="0"/>
    <x v="0"/>
    <x v="0"/>
    <s v="ChillVibes"/>
    <n v="4874"/>
    <n v="0.13838335084182732"/>
    <m/>
    <m/>
    <m/>
  </r>
  <r>
    <s v="SP110"/>
    <x v="0"/>
    <d v="2024-06-26T00:00:00"/>
    <x v="0"/>
    <s v="New music just dropped. Hit play!"/>
    <n v="3253"/>
    <n v="483"/>
    <n v="336"/>
    <n v="25397"/>
    <n v="51485"/>
    <n v="131"/>
    <x v="1"/>
    <x v="1"/>
    <x v="1"/>
    <s v="IndieWave"/>
    <n v="4072"/>
    <n v="0.16033389770445328"/>
    <m/>
    <m/>
    <m/>
  </r>
  <r>
    <s v="SP111"/>
    <x v="2"/>
    <d v="2024-07-20T00:00:00"/>
    <x v="2"/>
    <s v="Music that moves you only on Spotify."/>
    <n v="4955"/>
    <n v="299"/>
    <n v="345"/>
    <n v="33644"/>
    <n v="43547"/>
    <n v="194"/>
    <x v="7"/>
    <x v="1"/>
    <x v="4"/>
    <s v="SummerBeats"/>
    <n v="5599"/>
    <n v="0.16641897515158721"/>
    <m/>
    <m/>
    <m/>
  </r>
  <r>
    <s v="SP112"/>
    <x v="0"/>
    <d v="2025-02-16T00:00:00"/>
    <x v="0"/>
    <s v="Your weekend playlist is waiting."/>
    <n v="1333"/>
    <n v="286"/>
    <n v="298"/>
    <n v="36174"/>
    <n v="34517"/>
    <n v="170"/>
    <x v="0"/>
    <x v="0"/>
    <x v="0"/>
    <s v="ChillVibes"/>
    <n v="1917"/>
    <n v="5.2993862995521647E-2"/>
    <m/>
    <m/>
    <m/>
  </r>
  <r>
    <s v="SP113"/>
    <x v="0"/>
    <d v="2024-09-09T00:00:00"/>
    <x v="0"/>
    <s v="New music just dropped. Hit play!"/>
    <n v="1616"/>
    <n v="360"/>
    <n v="180"/>
    <n v="54342"/>
    <n v="18796"/>
    <n v="282"/>
    <x v="0"/>
    <x v="0"/>
    <x v="0"/>
    <s v="ChillVibes"/>
    <n v="2156"/>
    <n v="3.9674653122814763E-2"/>
    <m/>
    <m/>
    <m/>
  </r>
  <r>
    <s v="SP114"/>
    <x v="1"/>
    <d v="2024-07-16T00:00:00"/>
    <x v="0"/>
    <s v="Top trending tracks updated daily!"/>
    <n v="1803"/>
    <n v="273"/>
    <n v="287"/>
    <n v="46176"/>
    <n v="25488"/>
    <n v="141"/>
    <x v="5"/>
    <x v="3"/>
    <x v="1"/>
    <s v="ChillVibes"/>
    <n v="2363"/>
    <n v="5.1173769923769923E-2"/>
    <m/>
    <m/>
    <m/>
  </r>
  <r>
    <s v="SP115"/>
    <x v="0"/>
    <d v="2025-04-15T00:00:00"/>
    <x v="0"/>
    <s v="Explore the latest podcasts now."/>
    <n v="4177"/>
    <n v="489"/>
    <n v="331"/>
    <n v="57451"/>
    <n v="73793"/>
    <n v="251"/>
    <x v="1"/>
    <x v="1"/>
    <x v="1"/>
    <s v="IndieWave"/>
    <n v="4997"/>
    <n v="8.6978468608031198E-2"/>
    <m/>
    <m/>
    <m/>
  </r>
  <r>
    <s v="SP116"/>
    <x v="0"/>
    <d v="2025-05-04T00:00:00"/>
    <x v="1"/>
    <s v="New music just dropped. Hit play!"/>
    <n v="1311"/>
    <n v="181"/>
    <n v="361"/>
    <n v="37148"/>
    <n v="44875"/>
    <n v="245"/>
    <x v="5"/>
    <x v="3"/>
    <x v="1"/>
    <s v="Wrapped2024"/>
    <n v="1853"/>
    <n v="4.9881554861634543E-2"/>
    <m/>
    <m/>
    <m/>
  </r>
  <r>
    <s v="SP117"/>
    <x v="0"/>
    <d v="2024-02-18T00:00:00"/>
    <x v="1"/>
    <s v="From pop to podcasts, its all here."/>
    <n v="1516"/>
    <n v="215"/>
    <n v="332"/>
    <n v="58981"/>
    <n v="36118"/>
    <n v="211"/>
    <x v="5"/>
    <x v="3"/>
    <x v="1"/>
    <s v="Wrapped2024"/>
    <n v="2063"/>
    <n v="3.4977365592309385E-2"/>
    <m/>
    <m/>
    <m/>
  </r>
  <r>
    <s v="SP118"/>
    <x v="1"/>
    <d v="2024-05-16T00:00:00"/>
    <x v="1"/>
    <s v="Music that moves you only on Spotify."/>
    <n v="2023"/>
    <n v="124"/>
    <n v="99"/>
    <n v="54524"/>
    <n v="34790"/>
    <n v="195"/>
    <x v="4"/>
    <x v="1"/>
    <x v="3"/>
    <s v="ChillVibes"/>
    <n v="2246"/>
    <n v="4.1192869195216787E-2"/>
    <m/>
    <m/>
    <m/>
  </r>
  <r>
    <s v="SP119"/>
    <x v="1"/>
    <d v="2025-05-29T00:00:00"/>
    <x v="1"/>
    <s v="Music that moves you only on Spotify."/>
    <n v="2134"/>
    <n v="322"/>
    <n v="114"/>
    <n v="44338"/>
    <n v="52165"/>
    <n v="176"/>
    <x v="2"/>
    <x v="2"/>
    <x v="0"/>
    <s v="ChillVibes"/>
    <n v="2570"/>
    <n v="5.7963823356939871E-2"/>
    <m/>
    <m/>
    <m/>
  </r>
  <r>
    <s v="SP120"/>
    <x v="0"/>
    <d v="2025-01-17T00:00:00"/>
    <x v="0"/>
    <s v="Top trending tracks updated daily!"/>
    <n v="2266"/>
    <n v="126"/>
    <n v="140"/>
    <n v="53759"/>
    <n v="46834"/>
    <n v="277"/>
    <x v="1"/>
    <x v="1"/>
    <x v="1"/>
    <s v="IndieWave"/>
    <n v="2532"/>
    <n v="4.7099090384865788E-2"/>
    <m/>
    <m/>
    <m/>
  </r>
  <r>
    <s v="SP121"/>
    <x v="0"/>
    <d v="2025-04-30T00:00:00"/>
    <x v="1"/>
    <s v="New music just dropped. Hit play!"/>
    <n v="3916"/>
    <n v="459"/>
    <n v="229"/>
    <n v="48989"/>
    <n v="39768"/>
    <n v="200"/>
    <x v="5"/>
    <x v="3"/>
    <x v="1"/>
    <s v="Wrapped2024"/>
    <n v="4604"/>
    <n v="9.3980281287635997E-2"/>
    <m/>
    <m/>
    <m/>
  </r>
  <r>
    <s v="SP122"/>
    <x v="1"/>
    <d v="2024-02-24T00:00:00"/>
    <x v="1"/>
    <s v="Music that moves you only on Spotify."/>
    <n v="1022"/>
    <n v="463"/>
    <n v="360"/>
    <n v="51468"/>
    <n v="24279"/>
    <n v="230"/>
    <x v="4"/>
    <x v="1"/>
    <x v="3"/>
    <s v="ChillVibes"/>
    <n v="1845"/>
    <n v="3.5847516903707161E-2"/>
    <m/>
    <m/>
    <m/>
  </r>
  <r>
    <s v="SP123"/>
    <x v="2"/>
    <d v="2024-05-12T00:00:00"/>
    <x v="0"/>
    <s v="From pop to podcasts, its all here."/>
    <n v="2911"/>
    <n v="467"/>
    <n v="94"/>
    <n v="59083"/>
    <n v="49762"/>
    <n v="236"/>
    <x v="3"/>
    <x v="1"/>
    <x v="2"/>
    <s v="IndieWave"/>
    <n v="3472"/>
    <n v="5.8764788517847777E-2"/>
    <m/>
    <m/>
    <m/>
  </r>
  <r>
    <s v="SP124"/>
    <x v="1"/>
    <d v="2024-05-09T00:00:00"/>
    <x v="1"/>
    <s v="New music just dropped. Hit play!"/>
    <n v="3277"/>
    <n v="423"/>
    <n v="259"/>
    <n v="46328"/>
    <n v="44293"/>
    <n v="299"/>
    <x v="0"/>
    <x v="0"/>
    <x v="0"/>
    <s v="ChillVibes"/>
    <n v="3959"/>
    <n v="8.5455879813503707E-2"/>
    <m/>
    <m/>
    <m/>
  </r>
  <r>
    <s v="SP125"/>
    <x v="1"/>
    <d v="2024-11-06T00:00:00"/>
    <x v="0"/>
    <s v="From pop to podcasts, its all here."/>
    <n v="2956"/>
    <n v="381"/>
    <n v="345"/>
    <n v="33347"/>
    <n v="22558"/>
    <n v="173"/>
    <x v="5"/>
    <x v="3"/>
    <x v="1"/>
    <s v="ChillVibes"/>
    <n v="3682"/>
    <n v="0.11041472996071611"/>
    <m/>
    <m/>
    <m/>
  </r>
  <r>
    <s v="SP126"/>
    <x v="1"/>
    <d v="2024-01-04T00:00:00"/>
    <x v="1"/>
    <s v="What's your vibe today? #SpotifyHits"/>
    <n v="3208"/>
    <n v="476"/>
    <n v="277"/>
    <n v="56072"/>
    <n v="21061"/>
    <n v="113"/>
    <x v="2"/>
    <x v="2"/>
    <x v="0"/>
    <s v="ChillVibes"/>
    <n v="3961"/>
    <n v="7.064131830503638E-2"/>
    <m/>
    <m/>
    <m/>
  </r>
  <r>
    <s v="SP127"/>
    <x v="1"/>
    <d v="2024-01-28T00:00:00"/>
    <x v="0"/>
    <s v="Music that moves you only on Spotify."/>
    <n v="1456"/>
    <n v="265"/>
    <n v="137"/>
    <n v="53485"/>
    <n v="59729"/>
    <n v="145"/>
    <x v="6"/>
    <x v="0"/>
    <x v="1"/>
    <s v="IndieWave"/>
    <n v="1858"/>
    <n v="3.4738711788351875E-2"/>
    <m/>
    <m/>
    <m/>
  </r>
  <r>
    <s v="SP128"/>
    <x v="0"/>
    <d v="2024-02-22T00:00:00"/>
    <x v="0"/>
    <s v="New music just dropped. Hit play!"/>
    <n v="1902"/>
    <n v="394"/>
    <n v="279"/>
    <n v="24615"/>
    <n v="51330"/>
    <n v="176"/>
    <x v="0"/>
    <x v="0"/>
    <x v="0"/>
    <s v="ChillVibes"/>
    <n v="2575"/>
    <n v="0.10461100954702417"/>
    <m/>
    <m/>
    <m/>
  </r>
  <r>
    <s v="SP129"/>
    <x v="1"/>
    <d v="2025-07-01T00:00:00"/>
    <x v="1"/>
    <s v="Explore the latest podcasts now."/>
    <n v="3219"/>
    <n v="424"/>
    <n v="267"/>
    <n v="48879"/>
    <n v="37691"/>
    <n v="224"/>
    <x v="4"/>
    <x v="1"/>
    <x v="3"/>
    <s v="ChillVibes"/>
    <n v="3910"/>
    <n v="7.9993453221219743E-2"/>
    <m/>
    <m/>
    <m/>
  </r>
  <r>
    <s v="SP130"/>
    <x v="2"/>
    <d v="2024-01-10T00:00:00"/>
    <x v="0"/>
    <s v="Explore the latest podcasts now."/>
    <n v="1261"/>
    <n v="190"/>
    <n v="233"/>
    <n v="59888"/>
    <n v="51449"/>
    <n v="205"/>
    <x v="3"/>
    <x v="1"/>
    <x v="2"/>
    <s v="IndieWave"/>
    <n v="1684"/>
    <n v="2.811915575741384E-2"/>
    <m/>
    <m/>
    <m/>
  </r>
  <r>
    <s v="SP131"/>
    <x v="1"/>
    <d v="2025-03-20T00:00:00"/>
    <x v="0"/>
    <s v="Your weekend playlist is waiting."/>
    <n v="1564"/>
    <n v="362"/>
    <n v="371"/>
    <n v="42075"/>
    <n v="66659"/>
    <n v="205"/>
    <x v="6"/>
    <x v="0"/>
    <x v="1"/>
    <s v="IndieWave"/>
    <n v="2297"/>
    <n v="5.4592988710635768E-2"/>
    <m/>
    <m/>
    <m/>
  </r>
  <r>
    <s v="SP132"/>
    <x v="1"/>
    <d v="2024-09-28T00:00:00"/>
    <x v="0"/>
    <s v="What's your vibe today? #SpotifyHits"/>
    <n v="4006"/>
    <n v="420"/>
    <n v="194"/>
    <n v="49964"/>
    <n v="20685"/>
    <n v="148"/>
    <x v="5"/>
    <x v="3"/>
    <x v="1"/>
    <s v="ChillVibes"/>
    <n v="4620"/>
    <n v="9.2466575934672959E-2"/>
    <m/>
    <m/>
    <m/>
  </r>
  <r>
    <s v="SP133"/>
    <x v="2"/>
    <d v="2024-01-27T00:00:00"/>
    <x v="0"/>
    <s v="Your weekend playlist is waiting."/>
    <n v="1976"/>
    <n v="262"/>
    <n v="218"/>
    <n v="51696"/>
    <n v="44846"/>
    <n v="139"/>
    <x v="3"/>
    <x v="1"/>
    <x v="2"/>
    <s v="IndieWave"/>
    <n v="2456"/>
    <n v="4.7508511296812134E-2"/>
    <m/>
    <m/>
    <m/>
  </r>
  <r>
    <s v="SP134"/>
    <x v="1"/>
    <d v="2025-05-15T00:00:00"/>
    <x v="0"/>
    <s v="New music just dropped. Hit play!"/>
    <n v="1583"/>
    <n v="433"/>
    <n v="249"/>
    <n v="30256"/>
    <n v="47066"/>
    <n v="196"/>
    <x v="5"/>
    <x v="3"/>
    <x v="1"/>
    <s v="ChillVibes"/>
    <n v="2265"/>
    <n v="7.4861184558434685E-2"/>
    <m/>
    <m/>
    <m/>
  </r>
  <r>
    <s v="SP135"/>
    <x v="1"/>
    <d v="2024-10-04T00:00:00"/>
    <x v="1"/>
    <s v="Explore the latest podcasts now."/>
    <n v="2870"/>
    <n v="380"/>
    <n v="393"/>
    <n v="37621"/>
    <n v="71794"/>
    <n v="127"/>
    <x v="2"/>
    <x v="2"/>
    <x v="0"/>
    <s v="ChillVibes"/>
    <n v="3643"/>
    <n v="9.6834214933149046E-2"/>
    <m/>
    <m/>
    <m/>
  </r>
  <r>
    <s v="SP136"/>
    <x v="1"/>
    <d v="2024-11-19T00:00:00"/>
    <x v="0"/>
    <s v="Top trending tracks updated daily!"/>
    <n v="3728"/>
    <n v="271"/>
    <n v="275"/>
    <n v="22827"/>
    <n v="37034"/>
    <n v="199"/>
    <x v="5"/>
    <x v="3"/>
    <x v="1"/>
    <s v="ChillVibes"/>
    <n v="4274"/>
    <n v="0.18723441538528934"/>
    <m/>
    <m/>
    <m/>
  </r>
  <r>
    <s v="SP137"/>
    <x v="1"/>
    <d v="2024-04-05T00:00:00"/>
    <x v="1"/>
    <s v="New music just dropped. Hit play!"/>
    <n v="4965"/>
    <n v="175"/>
    <n v="307"/>
    <n v="32793"/>
    <n v="43412"/>
    <n v="296"/>
    <x v="0"/>
    <x v="0"/>
    <x v="0"/>
    <s v="ChillVibes"/>
    <n v="5447"/>
    <n v="0.16610252187966945"/>
    <m/>
    <m/>
    <m/>
  </r>
  <r>
    <s v="SP138"/>
    <x v="1"/>
    <d v="2024-11-28T00:00:00"/>
    <x v="1"/>
    <s v="New music just dropped. Hit play!"/>
    <n v="1131"/>
    <n v="100"/>
    <n v="116"/>
    <n v="48437"/>
    <n v="72704"/>
    <n v="236"/>
    <x v="4"/>
    <x v="1"/>
    <x v="3"/>
    <s v="ChillVibes"/>
    <n v="1347"/>
    <n v="2.7809319322005904E-2"/>
    <m/>
    <m/>
    <m/>
  </r>
  <r>
    <s v="SP139"/>
    <x v="1"/>
    <d v="2025-03-09T00:00:00"/>
    <x v="0"/>
    <s v="Your weekend playlist is waiting."/>
    <n v="2754"/>
    <n v="215"/>
    <n v="264"/>
    <n v="27762"/>
    <n v="70203"/>
    <n v="289"/>
    <x v="5"/>
    <x v="3"/>
    <x v="1"/>
    <s v="ChillVibes"/>
    <n v="3233"/>
    <n v="0.11645414595490239"/>
    <m/>
    <m/>
    <m/>
  </r>
  <r>
    <s v="SP140"/>
    <x v="1"/>
    <d v="2024-08-27T00:00:00"/>
    <x v="1"/>
    <s v="New music just dropped. Hit play!"/>
    <n v="1856"/>
    <n v="357"/>
    <n v="348"/>
    <n v="29428"/>
    <n v="70206"/>
    <n v="236"/>
    <x v="2"/>
    <x v="2"/>
    <x v="0"/>
    <s v="ChillVibes"/>
    <n v="2561"/>
    <n v="8.702596166915863E-2"/>
    <m/>
    <m/>
    <m/>
  </r>
  <r>
    <s v="SP141"/>
    <x v="2"/>
    <d v="2024-10-01T00:00:00"/>
    <x v="2"/>
    <s v="Explore the latest podcasts now."/>
    <n v="3543"/>
    <n v="334"/>
    <n v="218"/>
    <n v="58007"/>
    <n v="24792"/>
    <n v="273"/>
    <x v="7"/>
    <x v="1"/>
    <x v="4"/>
    <s v="SummerBeats"/>
    <n v="4095"/>
    <n v="7.0594928198320889E-2"/>
    <m/>
    <m/>
    <m/>
  </r>
  <r>
    <s v="SP142"/>
    <x v="0"/>
    <d v="2024-12-21T00:00:00"/>
    <x v="1"/>
    <s v="New music just dropped. Hit play!"/>
    <n v="4563"/>
    <n v="398"/>
    <n v="163"/>
    <n v="43679"/>
    <n v="48760"/>
    <n v="92"/>
    <x v="5"/>
    <x v="3"/>
    <x v="1"/>
    <s v="Wrapped2024"/>
    <n v="5124"/>
    <n v="0.11731037798484398"/>
    <m/>
    <m/>
    <m/>
  </r>
  <r>
    <s v="SP143"/>
    <x v="0"/>
    <d v="2024-06-17T00:00:00"/>
    <x v="0"/>
    <s v="Discover fresh beats on Spotify!"/>
    <n v="4283"/>
    <n v="471"/>
    <n v="156"/>
    <n v="53004"/>
    <n v="25678"/>
    <n v="105"/>
    <x v="1"/>
    <x v="1"/>
    <x v="1"/>
    <s v="IndieWave"/>
    <n v="4910"/>
    <n v="9.2634518149573616E-2"/>
    <m/>
    <m/>
    <m/>
  </r>
  <r>
    <s v="SP144"/>
    <x v="0"/>
    <d v="2025-02-14T00:00:00"/>
    <x v="0"/>
    <s v="Discover fresh beats on Spotify!"/>
    <n v="2329"/>
    <n v="373"/>
    <n v="291"/>
    <n v="49577"/>
    <n v="28002"/>
    <n v="82"/>
    <x v="0"/>
    <x v="0"/>
    <x v="0"/>
    <s v="ChillVibes"/>
    <n v="2993"/>
    <n v="6.0370736430199488E-2"/>
    <m/>
    <m/>
    <m/>
  </r>
  <r>
    <s v="SP145"/>
    <x v="1"/>
    <d v="2025-05-28T00:00:00"/>
    <x v="1"/>
    <s v="Top trending tracks updated daily!"/>
    <n v="4287"/>
    <n v="273"/>
    <n v="122"/>
    <n v="40792"/>
    <n v="23878"/>
    <n v="277"/>
    <x v="2"/>
    <x v="2"/>
    <x v="0"/>
    <s v="ChillVibes"/>
    <n v="4682"/>
    <n v="0.11477740733477153"/>
    <m/>
    <m/>
    <m/>
  </r>
  <r>
    <s v="SP146"/>
    <x v="0"/>
    <d v="2025-05-22T00:00:00"/>
    <x v="0"/>
    <s v="Discover fresh beats on Spotify!"/>
    <n v="2633"/>
    <n v="318"/>
    <n v="380"/>
    <n v="40869"/>
    <n v="64474"/>
    <n v="245"/>
    <x v="1"/>
    <x v="1"/>
    <x v="1"/>
    <s v="IndieWave"/>
    <n v="3331"/>
    <n v="8.1504318676747664E-2"/>
    <m/>
    <m/>
    <m/>
  </r>
  <r>
    <s v="SP147"/>
    <x v="1"/>
    <d v="2024-01-21T00:00:00"/>
    <x v="1"/>
    <s v="Discover fresh beats on Spotify!"/>
    <n v="2383"/>
    <n v="136"/>
    <n v="302"/>
    <n v="39187"/>
    <n v="22133"/>
    <n v="208"/>
    <x v="2"/>
    <x v="2"/>
    <x v="0"/>
    <s v="ChillVibes"/>
    <n v="2821"/>
    <n v="7.1988159338556151E-2"/>
    <m/>
    <m/>
    <m/>
  </r>
  <r>
    <s v="SP148"/>
    <x v="1"/>
    <d v="2025-02-08T00:00:00"/>
    <x v="1"/>
    <s v="Your weekend playlist is waiting."/>
    <n v="4752"/>
    <n v="334"/>
    <n v="56"/>
    <n v="48017"/>
    <n v="55534"/>
    <n v="270"/>
    <x v="4"/>
    <x v="1"/>
    <x v="3"/>
    <s v="ChillVibes"/>
    <n v="5142"/>
    <n v="0.10708707332819627"/>
    <m/>
    <m/>
    <m/>
  </r>
  <r>
    <s v="SP149"/>
    <x v="1"/>
    <d v="2025-04-13T00:00:00"/>
    <x v="0"/>
    <s v="From pop to podcasts, its all here."/>
    <n v="3890"/>
    <n v="408"/>
    <n v="338"/>
    <n v="56994"/>
    <n v="32621"/>
    <n v="286"/>
    <x v="6"/>
    <x v="0"/>
    <x v="1"/>
    <s v="IndieWave"/>
    <n v="4636"/>
    <n v="8.1341895638137346E-2"/>
    <m/>
    <m/>
    <m/>
  </r>
  <r>
    <s v="SP150"/>
    <x v="1"/>
    <d v="2024-05-30T00:00:00"/>
    <x v="1"/>
    <s v="Your weekend playlist is waiting."/>
    <n v="2311"/>
    <n v="207"/>
    <n v="363"/>
    <n v="30349"/>
    <n v="32925"/>
    <n v="88"/>
    <x v="2"/>
    <x v="2"/>
    <x v="0"/>
    <s v="ChillVibes"/>
    <n v="2881"/>
    <n v="9.4928992718046723E-2"/>
    <m/>
    <m/>
    <m/>
  </r>
  <r>
    <s v="SP151"/>
    <x v="0"/>
    <d v="2024-08-12T00:00:00"/>
    <x v="1"/>
    <s v="Discover fresh beats on Spotify!"/>
    <n v="2962"/>
    <n v="400"/>
    <n v="280"/>
    <n v="52508"/>
    <n v="58329"/>
    <n v="219"/>
    <x v="5"/>
    <x v="3"/>
    <x v="1"/>
    <s v="Wrapped2024"/>
    <n v="3642"/>
    <n v="6.9360859297630834E-2"/>
    <m/>
    <m/>
    <m/>
  </r>
  <r>
    <s v="SP152"/>
    <x v="0"/>
    <d v="2024-09-27T00:00:00"/>
    <x v="0"/>
    <s v="Discover fresh beats on Spotify!"/>
    <n v="3118"/>
    <n v="116"/>
    <n v="195"/>
    <n v="37100"/>
    <n v="62629"/>
    <n v="272"/>
    <x v="1"/>
    <x v="1"/>
    <x v="1"/>
    <s v="IndieWave"/>
    <n v="3429"/>
    <n v="9.2425876010781671E-2"/>
    <m/>
    <m/>
    <m/>
  </r>
  <r>
    <s v="SP153"/>
    <x v="1"/>
    <d v="2025-06-11T00:00:00"/>
    <x v="1"/>
    <s v="Explore the latest podcasts now."/>
    <n v="3805"/>
    <n v="453"/>
    <n v="63"/>
    <n v="52395"/>
    <n v="72934"/>
    <n v="87"/>
    <x v="4"/>
    <x v="1"/>
    <x v="3"/>
    <s v="ChillVibes"/>
    <n v="4321"/>
    <n v="8.2469701307376658E-2"/>
    <m/>
    <m/>
    <m/>
  </r>
  <r>
    <s v="SP154"/>
    <x v="0"/>
    <d v="2024-11-19T00:00:00"/>
    <x v="0"/>
    <s v="What's your vibe today? #SpotifyHits"/>
    <n v="2525"/>
    <n v="272"/>
    <n v="294"/>
    <n v="51875"/>
    <n v="24732"/>
    <n v="92"/>
    <x v="1"/>
    <x v="1"/>
    <x v="1"/>
    <s v="IndieWave"/>
    <n v="3091"/>
    <n v="5.9585542168674697E-2"/>
    <m/>
    <m/>
    <m/>
  </r>
  <r>
    <s v="SP155"/>
    <x v="0"/>
    <d v="2024-04-25T00:00:00"/>
    <x v="0"/>
    <s v="Music that moves you only on Spotify."/>
    <n v="3563"/>
    <n v="483"/>
    <n v="227"/>
    <n v="41085"/>
    <n v="26393"/>
    <n v="236"/>
    <x v="0"/>
    <x v="0"/>
    <x v="0"/>
    <s v="ChillVibes"/>
    <n v="4273"/>
    <n v="0.10400389436534015"/>
    <m/>
    <m/>
    <m/>
  </r>
  <r>
    <s v="SP156"/>
    <x v="2"/>
    <d v="2024-09-03T00:00:00"/>
    <x v="2"/>
    <s v="What's your vibe today? #SpotifyHits"/>
    <n v="1437"/>
    <n v="494"/>
    <n v="129"/>
    <n v="53048"/>
    <n v="44090"/>
    <n v="230"/>
    <x v="7"/>
    <x v="1"/>
    <x v="4"/>
    <s v="SummerBeats"/>
    <n v="2060"/>
    <n v="3.8832755240536872E-2"/>
    <m/>
    <m/>
    <m/>
  </r>
  <r>
    <s v="SP157"/>
    <x v="2"/>
    <d v="2025-03-02T00:00:00"/>
    <x v="0"/>
    <s v="From pop to podcasts, its all here."/>
    <n v="4425"/>
    <n v="185"/>
    <n v="162"/>
    <n v="24610"/>
    <n v="21342"/>
    <n v="158"/>
    <x v="3"/>
    <x v="1"/>
    <x v="2"/>
    <s v="IndieWave"/>
    <n v="4772"/>
    <n v="0.19390491670052823"/>
    <m/>
    <m/>
    <m/>
  </r>
  <r>
    <s v="SP158"/>
    <x v="1"/>
    <d v="2025-03-21T00:00:00"/>
    <x v="1"/>
    <s v="New music just dropped. Hit play!"/>
    <n v="4609"/>
    <n v="427"/>
    <n v="395"/>
    <n v="33698"/>
    <n v="29259"/>
    <n v="216"/>
    <x v="4"/>
    <x v="1"/>
    <x v="3"/>
    <s v="ChillVibes"/>
    <n v="5431"/>
    <n v="0.16116683482699271"/>
    <m/>
    <m/>
    <m/>
  </r>
  <r>
    <s v="SP159"/>
    <x v="0"/>
    <d v="2024-04-12T00:00:00"/>
    <x v="1"/>
    <s v="Get into the groove with our new drop!"/>
    <n v="1558"/>
    <n v="352"/>
    <n v="202"/>
    <n v="25405"/>
    <n v="69941"/>
    <n v="219"/>
    <x v="5"/>
    <x v="3"/>
    <x v="1"/>
    <s v="Wrapped2024"/>
    <n v="2112"/>
    <n v="8.3133241487896081E-2"/>
    <m/>
    <m/>
    <m/>
  </r>
  <r>
    <s v="SP160"/>
    <x v="2"/>
    <d v="2024-02-08T00:00:00"/>
    <x v="2"/>
    <s v="Top trending tracks updated daily!"/>
    <n v="1889"/>
    <n v="298"/>
    <n v="122"/>
    <n v="46225"/>
    <n v="74305"/>
    <n v="293"/>
    <x v="7"/>
    <x v="1"/>
    <x v="4"/>
    <s v="SummerBeats"/>
    <n v="2309"/>
    <n v="4.9951325040562468E-2"/>
    <m/>
    <m/>
    <m/>
  </r>
  <r>
    <s v="SP161"/>
    <x v="0"/>
    <d v="2025-05-26T00:00:00"/>
    <x v="0"/>
    <s v="Discover fresh beats on Spotify!"/>
    <n v="3086"/>
    <n v="148"/>
    <n v="310"/>
    <n v="22824"/>
    <n v="58103"/>
    <n v="275"/>
    <x v="1"/>
    <x v="1"/>
    <x v="1"/>
    <s v="IndieWave"/>
    <n v="3544"/>
    <n v="0.1552751489660007"/>
    <m/>
    <m/>
    <m/>
  </r>
  <r>
    <s v="SP162"/>
    <x v="0"/>
    <d v="2024-11-14T00:00:00"/>
    <x v="0"/>
    <s v="Music that moves you only on Spotify."/>
    <n v="2422"/>
    <n v="318"/>
    <n v="118"/>
    <n v="25386"/>
    <n v="20873"/>
    <n v="100"/>
    <x v="0"/>
    <x v="0"/>
    <x v="0"/>
    <s v="ChillVibes"/>
    <n v="2858"/>
    <n v="0.11258173796580792"/>
    <m/>
    <m/>
    <m/>
  </r>
  <r>
    <s v="SP163"/>
    <x v="2"/>
    <d v="2024-08-09T00:00:00"/>
    <x v="2"/>
    <s v="From pop to podcasts, its all here."/>
    <n v="3414"/>
    <n v="154"/>
    <n v="204"/>
    <n v="34146"/>
    <n v="44633"/>
    <n v="256"/>
    <x v="7"/>
    <x v="1"/>
    <x v="4"/>
    <s v="SummerBeats"/>
    <n v="3772"/>
    <n v="0.11046681895390383"/>
    <m/>
    <m/>
    <m/>
  </r>
  <r>
    <s v="SP164"/>
    <x v="0"/>
    <d v="2025-06-27T00:00:00"/>
    <x v="1"/>
    <s v="What's your vibe today? #SpotifyHits"/>
    <n v="1342"/>
    <n v="332"/>
    <n v="163"/>
    <n v="51712"/>
    <n v="57922"/>
    <n v="168"/>
    <x v="5"/>
    <x v="3"/>
    <x v="1"/>
    <s v="Wrapped2024"/>
    <n v="1837"/>
    <n v="3.5523669554455448E-2"/>
    <m/>
    <m/>
    <m/>
  </r>
  <r>
    <s v="SP165"/>
    <x v="0"/>
    <d v="2024-05-08T00:00:00"/>
    <x v="1"/>
    <s v="Music that moves you only on Spotify."/>
    <n v="2414"/>
    <n v="220"/>
    <n v="280"/>
    <n v="27355"/>
    <n v="50562"/>
    <n v="258"/>
    <x v="5"/>
    <x v="3"/>
    <x v="1"/>
    <s v="Wrapped2024"/>
    <n v="2914"/>
    <n v="0.10652531529884847"/>
    <m/>
    <m/>
    <m/>
  </r>
  <r>
    <s v="SP166"/>
    <x v="0"/>
    <d v="2024-04-05T00:00:00"/>
    <x v="0"/>
    <s v="New music just dropped. Hit play!"/>
    <n v="4383"/>
    <n v="352"/>
    <n v="176"/>
    <n v="53239"/>
    <n v="34168"/>
    <n v="288"/>
    <x v="1"/>
    <x v="1"/>
    <x v="1"/>
    <s v="IndieWave"/>
    <n v="4911"/>
    <n v="9.2244407295403744E-2"/>
    <m/>
    <m/>
    <m/>
  </r>
  <r>
    <s v="SP167"/>
    <x v="2"/>
    <d v="2025-01-27T00:00:00"/>
    <x v="0"/>
    <s v="Wrapped is here! Relive your top tracks "/>
    <n v="4294"/>
    <n v="423"/>
    <n v="93"/>
    <n v="29828"/>
    <n v="73144"/>
    <n v="298"/>
    <x v="3"/>
    <x v="1"/>
    <x v="2"/>
    <s v="IndieWave"/>
    <n v="4810"/>
    <n v="0.1612578785034196"/>
    <m/>
    <m/>
    <m/>
  </r>
  <r>
    <s v="SP168"/>
    <x v="0"/>
    <d v="2024-04-03T00:00:00"/>
    <x v="0"/>
    <s v="Top trending tracks updated daily!"/>
    <n v="2762"/>
    <n v="339"/>
    <n v="323"/>
    <n v="33757"/>
    <n v="68511"/>
    <n v="121"/>
    <x v="0"/>
    <x v="0"/>
    <x v="0"/>
    <s v="ChillVibes"/>
    <n v="3424"/>
    <n v="0.10143081434961637"/>
    <m/>
    <m/>
    <m/>
  </r>
  <r>
    <s v="SP169"/>
    <x v="2"/>
    <d v="2025-01-03T00:00:00"/>
    <x v="0"/>
    <s v="New music just dropped. Hit play!"/>
    <n v="3782"/>
    <n v="484"/>
    <n v="144"/>
    <n v="52172"/>
    <n v="59386"/>
    <n v="175"/>
    <x v="3"/>
    <x v="1"/>
    <x v="2"/>
    <s v="IndieWave"/>
    <n v="4410"/>
    <n v="8.4528099363643333E-2"/>
    <m/>
    <m/>
    <m/>
  </r>
  <r>
    <s v="SP170"/>
    <x v="1"/>
    <d v="2024-11-23T00:00:00"/>
    <x v="0"/>
    <s v="New music just dropped. Hit play!"/>
    <n v="4318"/>
    <n v="371"/>
    <n v="329"/>
    <n v="32347"/>
    <n v="68956"/>
    <n v="259"/>
    <x v="6"/>
    <x v="0"/>
    <x v="1"/>
    <s v="IndieWave"/>
    <n v="5018"/>
    <n v="0.15513030574705536"/>
    <m/>
    <m/>
    <m/>
  </r>
  <r>
    <s v="SP171"/>
    <x v="0"/>
    <d v="2024-09-01T00:00:00"/>
    <x v="1"/>
    <s v="Wrapped is here! Relive your top tracks "/>
    <n v="2335"/>
    <n v="150"/>
    <n v="75"/>
    <n v="26114"/>
    <n v="57549"/>
    <n v="135"/>
    <x v="5"/>
    <x v="3"/>
    <x v="1"/>
    <s v="Wrapped2024"/>
    <n v="2560"/>
    <n v="9.8031707130274953E-2"/>
    <m/>
    <m/>
    <m/>
  </r>
  <r>
    <s v="SP172"/>
    <x v="2"/>
    <d v="2024-04-18T00:00:00"/>
    <x v="0"/>
    <s v="Explore the latest podcasts now."/>
    <n v="4023"/>
    <n v="293"/>
    <n v="91"/>
    <n v="26795"/>
    <n v="28924"/>
    <n v="278"/>
    <x v="3"/>
    <x v="1"/>
    <x v="2"/>
    <s v="IndieWave"/>
    <n v="4407"/>
    <n v="0.16447098339242397"/>
    <m/>
    <m/>
    <m/>
  </r>
  <r>
    <s v="SP173"/>
    <x v="0"/>
    <d v="2024-06-04T00:00:00"/>
    <x v="0"/>
    <s v="Get into the groove with our new drop!"/>
    <n v="3948"/>
    <n v="151"/>
    <n v="249"/>
    <n v="43147"/>
    <n v="63136"/>
    <n v="230"/>
    <x v="1"/>
    <x v="1"/>
    <x v="1"/>
    <s v="IndieWave"/>
    <n v="4348"/>
    <n v="0.10077178019329269"/>
    <m/>
    <m/>
    <m/>
  </r>
  <r>
    <s v="SP174"/>
    <x v="2"/>
    <d v="2025-04-02T00:00:00"/>
    <x v="0"/>
    <s v="Wrapped is here! Relive your top tracks "/>
    <n v="4598"/>
    <n v="455"/>
    <n v="378"/>
    <n v="52952"/>
    <n v="58504"/>
    <n v="269"/>
    <x v="3"/>
    <x v="1"/>
    <x v="2"/>
    <s v="IndieWave"/>
    <n v="5431"/>
    <n v="0.10256458679558846"/>
    <m/>
    <m/>
    <m/>
  </r>
  <r>
    <s v="SP175"/>
    <x v="1"/>
    <d v="2025-04-01T00:00:00"/>
    <x v="1"/>
    <s v="Music that moves you only on Spotify."/>
    <n v="2665"/>
    <n v="143"/>
    <n v="315"/>
    <n v="54808"/>
    <n v="29818"/>
    <n v="98"/>
    <x v="4"/>
    <x v="1"/>
    <x v="3"/>
    <s v="ChillVibes"/>
    <n v="3123"/>
    <n v="5.6980732739746021E-2"/>
    <m/>
    <m/>
    <m/>
  </r>
  <r>
    <s v="SP176"/>
    <x v="0"/>
    <d v="2024-07-02T00:00:00"/>
    <x v="0"/>
    <s v="Top trending tracks updated daily!"/>
    <n v="3469"/>
    <n v="371"/>
    <n v="76"/>
    <n v="46493"/>
    <n v="26906"/>
    <n v="150"/>
    <x v="0"/>
    <x v="0"/>
    <x v="0"/>
    <s v="ChillVibes"/>
    <n v="3916"/>
    <n v="8.4227733207149463E-2"/>
    <m/>
    <m/>
    <m/>
  </r>
  <r>
    <s v="SP177"/>
    <x v="1"/>
    <d v="2024-11-10T00:00:00"/>
    <x v="0"/>
    <s v="Explore the latest podcasts now."/>
    <n v="4823"/>
    <n v="489"/>
    <n v="302"/>
    <n v="32470"/>
    <n v="31861"/>
    <n v="178"/>
    <x v="6"/>
    <x v="0"/>
    <x v="1"/>
    <s v="IndieWave"/>
    <n v="5614"/>
    <n v="0.1728980597474592"/>
    <m/>
    <m/>
    <m/>
  </r>
  <r>
    <s v="SP178"/>
    <x v="0"/>
    <d v="2024-12-14T00:00:00"/>
    <x v="1"/>
    <s v="From pop to podcasts, its all here."/>
    <n v="3812"/>
    <n v="321"/>
    <n v="289"/>
    <n v="59838"/>
    <n v="36337"/>
    <n v="161"/>
    <x v="5"/>
    <x v="3"/>
    <x v="1"/>
    <s v="Wrapped2024"/>
    <n v="4422"/>
    <n v="7.3899528727564417E-2"/>
    <m/>
    <m/>
    <m/>
  </r>
  <r>
    <s v="SP179"/>
    <x v="1"/>
    <d v="2024-11-19T00:00:00"/>
    <x v="0"/>
    <s v="Explore the latest podcasts now."/>
    <n v="2387"/>
    <n v="353"/>
    <n v="78"/>
    <n v="39745"/>
    <n v="69226"/>
    <n v="208"/>
    <x v="6"/>
    <x v="0"/>
    <x v="1"/>
    <s v="IndieWave"/>
    <n v="2818"/>
    <n v="7.090200025160398E-2"/>
    <m/>
    <m/>
    <m/>
  </r>
  <r>
    <s v="SP180"/>
    <x v="1"/>
    <d v="2025-04-30T00:00:00"/>
    <x v="1"/>
    <s v="Wrapped is here! Relive your top tracks "/>
    <n v="3929"/>
    <n v="275"/>
    <n v="330"/>
    <n v="58329"/>
    <n v="33196"/>
    <n v="85"/>
    <x v="2"/>
    <x v="2"/>
    <x v="0"/>
    <s v="ChillVibes"/>
    <n v="4534"/>
    <n v="7.7731488624869283E-2"/>
    <m/>
    <m/>
    <m/>
  </r>
  <r>
    <s v="SP181"/>
    <x v="1"/>
    <d v="2024-03-19T00:00:00"/>
    <x v="0"/>
    <s v="From pop to podcasts, its all here."/>
    <n v="2191"/>
    <n v="288"/>
    <n v="83"/>
    <n v="59606"/>
    <n v="24765"/>
    <n v="281"/>
    <x v="6"/>
    <x v="0"/>
    <x v="1"/>
    <s v="IndieWave"/>
    <n v="2562"/>
    <n v="4.2982250109049422E-2"/>
    <m/>
    <m/>
    <m/>
  </r>
  <r>
    <s v="SP182"/>
    <x v="0"/>
    <d v="2024-03-19T00:00:00"/>
    <x v="0"/>
    <s v="From pop to podcasts, its all here."/>
    <n v="2878"/>
    <n v="278"/>
    <n v="255"/>
    <n v="47235"/>
    <n v="57922"/>
    <n v="112"/>
    <x v="0"/>
    <x v="0"/>
    <x v="0"/>
    <s v="ChillVibes"/>
    <n v="3411"/>
    <n v="7.2213401079707848E-2"/>
    <m/>
    <m/>
    <m/>
  </r>
  <r>
    <s v="SP183"/>
    <x v="1"/>
    <d v="2024-07-23T00:00:00"/>
    <x v="0"/>
    <s v="Top trending tracks updated daily!"/>
    <n v="3204"/>
    <n v="398"/>
    <n v="85"/>
    <n v="22020"/>
    <n v="58353"/>
    <n v="286"/>
    <x v="6"/>
    <x v="0"/>
    <x v="1"/>
    <s v="IndieWave"/>
    <n v="3687"/>
    <n v="0.16743869209809265"/>
    <m/>
    <m/>
    <m/>
  </r>
  <r>
    <s v="SP184"/>
    <x v="1"/>
    <d v="2024-07-13T00:00:00"/>
    <x v="1"/>
    <s v="Get into the groove with our new drop!"/>
    <n v="2408"/>
    <n v="323"/>
    <n v="251"/>
    <n v="47599"/>
    <n v="35543"/>
    <n v="287"/>
    <x v="2"/>
    <x v="2"/>
    <x v="0"/>
    <s v="ChillVibes"/>
    <n v="2982"/>
    <n v="6.2648374965860634E-2"/>
    <m/>
    <m/>
    <m/>
  </r>
  <r>
    <s v="SP185"/>
    <x v="2"/>
    <d v="2025-04-22T00:00:00"/>
    <x v="2"/>
    <s v="New music just dropped. Hit play!"/>
    <n v="2733"/>
    <n v="297"/>
    <n v="235"/>
    <n v="37980"/>
    <n v="33058"/>
    <n v="219"/>
    <x v="7"/>
    <x v="1"/>
    <x v="4"/>
    <s v="SummerBeats"/>
    <n v="3265"/>
    <n v="8.5966298051606105E-2"/>
    <m/>
    <m/>
    <m/>
  </r>
  <r>
    <s v="SP186"/>
    <x v="1"/>
    <d v="2024-06-16T00:00:00"/>
    <x v="1"/>
    <s v="Explore the latest podcasts now."/>
    <n v="4618"/>
    <n v="312"/>
    <n v="254"/>
    <n v="22571"/>
    <n v="29453"/>
    <n v="197"/>
    <x v="2"/>
    <x v="2"/>
    <x v="0"/>
    <s v="ChillVibes"/>
    <n v="5184"/>
    <n v="0.22967524699836073"/>
    <m/>
    <m/>
    <m/>
  </r>
  <r>
    <s v="SP187"/>
    <x v="2"/>
    <d v="2025-05-18T00:00:00"/>
    <x v="2"/>
    <s v="Wrapped is here! Relive your top tracks "/>
    <n v="4210"/>
    <n v="319"/>
    <n v="350"/>
    <n v="37762"/>
    <n v="55162"/>
    <n v="204"/>
    <x v="7"/>
    <x v="1"/>
    <x v="4"/>
    <s v="SummerBeats"/>
    <n v="4879"/>
    <n v="0.12920396165457337"/>
    <m/>
    <m/>
    <m/>
  </r>
  <r>
    <s v="SP188"/>
    <x v="0"/>
    <d v="2025-06-06T00:00:00"/>
    <x v="0"/>
    <s v="Wrapped is here! Relive your top tracks "/>
    <n v="3987"/>
    <n v="171"/>
    <n v="274"/>
    <n v="45122"/>
    <n v="65431"/>
    <n v="168"/>
    <x v="1"/>
    <x v="1"/>
    <x v="1"/>
    <s v="IndieWave"/>
    <n v="4432"/>
    <n v="9.8222596516111871E-2"/>
    <m/>
    <m/>
    <m/>
  </r>
  <r>
    <s v="SP189"/>
    <x v="2"/>
    <d v="2025-02-20T00:00:00"/>
    <x v="2"/>
    <s v="Get into the groove with our new drop!"/>
    <n v="4957"/>
    <n v="262"/>
    <n v="365"/>
    <n v="49199"/>
    <n v="40314"/>
    <n v="216"/>
    <x v="7"/>
    <x v="1"/>
    <x v="4"/>
    <s v="SummerBeats"/>
    <n v="5584"/>
    <n v="0.11349824183418362"/>
    <m/>
    <m/>
    <m/>
  </r>
  <r>
    <s v="SP190"/>
    <x v="0"/>
    <d v="2025-01-16T00:00:00"/>
    <x v="0"/>
    <s v="Music that moves you only on Spotify."/>
    <n v="2605"/>
    <n v="282"/>
    <n v="148"/>
    <n v="32201"/>
    <n v="49583"/>
    <n v="241"/>
    <x v="0"/>
    <x v="0"/>
    <x v="0"/>
    <s v="ChillVibes"/>
    <n v="3035"/>
    <n v="9.4251731312692155E-2"/>
    <m/>
    <m/>
    <m/>
  </r>
  <r>
    <s v="SP191"/>
    <x v="2"/>
    <d v="2024-02-24T00:00:00"/>
    <x v="2"/>
    <s v="Discover fresh beats on Spotify!"/>
    <n v="4221"/>
    <n v="307"/>
    <n v="58"/>
    <n v="45080"/>
    <n v="37214"/>
    <n v="240"/>
    <x v="7"/>
    <x v="1"/>
    <x v="4"/>
    <s v="SummerBeats"/>
    <n v="4586"/>
    <n v="0.10173025732031943"/>
    <m/>
    <m/>
    <m/>
  </r>
  <r>
    <s v="SP192"/>
    <x v="1"/>
    <d v="2024-09-16T00:00:00"/>
    <x v="1"/>
    <s v="What's your vibe today? #SpotifyHits"/>
    <n v="4422"/>
    <n v="434"/>
    <n v="156"/>
    <n v="56165"/>
    <n v="52431"/>
    <n v="173"/>
    <x v="4"/>
    <x v="1"/>
    <x v="3"/>
    <s v="ChillVibes"/>
    <n v="5012"/>
    <n v="8.9237069349238848E-2"/>
    <m/>
    <m/>
    <m/>
  </r>
  <r>
    <s v="SP193"/>
    <x v="2"/>
    <d v="2024-06-04T00:00:00"/>
    <x v="2"/>
    <s v="Wrapped is here! Relive your top tracks "/>
    <n v="1211"/>
    <n v="431"/>
    <n v="83"/>
    <n v="26532"/>
    <n v="47305"/>
    <n v="232"/>
    <x v="7"/>
    <x v="1"/>
    <x v="4"/>
    <s v="SummerBeats"/>
    <n v="1725"/>
    <n v="6.5015829941203071E-2"/>
    <m/>
    <m/>
    <m/>
  </r>
  <r>
    <s v="SP194"/>
    <x v="1"/>
    <d v="2024-05-10T00:00:00"/>
    <x v="1"/>
    <s v="Explore the latest podcasts now."/>
    <n v="2784"/>
    <n v="111"/>
    <n v="399"/>
    <n v="58366"/>
    <n v="69512"/>
    <n v="269"/>
    <x v="2"/>
    <x v="2"/>
    <x v="0"/>
    <s v="ChillVibes"/>
    <n v="3294"/>
    <n v="5.6436966727204191E-2"/>
    <m/>
    <m/>
    <m/>
  </r>
  <r>
    <s v="SP195"/>
    <x v="2"/>
    <d v="2024-01-14T00:00:00"/>
    <x v="0"/>
    <s v="New music just dropped. Hit play!"/>
    <n v="3634"/>
    <n v="280"/>
    <n v="399"/>
    <n v="40256"/>
    <n v="52605"/>
    <n v="213"/>
    <x v="3"/>
    <x v="1"/>
    <x v="2"/>
    <s v="IndieWave"/>
    <n v="4313"/>
    <n v="0.10713930842607314"/>
    <m/>
    <m/>
    <m/>
  </r>
  <r>
    <s v="SP196"/>
    <x v="0"/>
    <d v="2025-01-12T00:00:00"/>
    <x v="0"/>
    <s v="From pop to podcasts, its all here."/>
    <n v="1771"/>
    <n v="487"/>
    <n v="272"/>
    <n v="48810"/>
    <n v="48084"/>
    <n v="272"/>
    <x v="0"/>
    <x v="0"/>
    <x v="0"/>
    <s v="ChillVibes"/>
    <n v="2530"/>
    <n v="5.1833640647408315E-2"/>
    <m/>
    <m/>
    <m/>
  </r>
  <r>
    <s v="SP197"/>
    <x v="2"/>
    <d v="2024-12-08T00:00:00"/>
    <x v="0"/>
    <s v="Top trending tracks updated daily!"/>
    <n v="1424"/>
    <n v="396"/>
    <n v="312"/>
    <n v="59517"/>
    <n v="46102"/>
    <n v="239"/>
    <x v="3"/>
    <x v="1"/>
    <x v="2"/>
    <s v="IndieWave"/>
    <n v="2132"/>
    <n v="3.5821698002251455E-2"/>
    <m/>
    <m/>
    <m/>
  </r>
  <r>
    <s v="SP198"/>
    <x v="1"/>
    <d v="2025-02-01T00:00:00"/>
    <x v="1"/>
    <s v="Top trending tracks updated daily!"/>
    <n v="1079"/>
    <n v="265"/>
    <n v="190"/>
    <n v="43786"/>
    <n v="72428"/>
    <n v="222"/>
    <x v="0"/>
    <x v="0"/>
    <x v="0"/>
    <s v="ChillVibes"/>
    <n v="1534"/>
    <n v="3.5034029141734799E-2"/>
    <m/>
    <m/>
    <m/>
  </r>
  <r>
    <s v="SP199"/>
    <x v="1"/>
    <d v="2024-07-11T00:00:00"/>
    <x v="1"/>
    <s v="Get into the groove with our new drop!"/>
    <n v="4247"/>
    <n v="179"/>
    <n v="175"/>
    <n v="32991"/>
    <n v="70120"/>
    <n v="276"/>
    <x v="0"/>
    <x v="0"/>
    <x v="0"/>
    <s v="ChillVibes"/>
    <n v="4601"/>
    <n v="0.13946227759085811"/>
    <m/>
    <m/>
    <m/>
  </r>
  <r>
    <s v="SP200"/>
    <x v="1"/>
    <d v="2024-03-18T00:00:00"/>
    <x v="0"/>
    <s v="New music just dropped. Hit play!"/>
    <n v="2033"/>
    <n v="420"/>
    <n v="94"/>
    <n v="56290"/>
    <n v="57391"/>
    <n v="196"/>
    <x v="5"/>
    <x v="3"/>
    <x v="1"/>
    <s v="ChillVibes"/>
    <n v="2547"/>
    <n v="4.5247823769763724E-2"/>
    <m/>
    <m/>
    <m/>
  </r>
  <r>
    <s v="SP201"/>
    <x v="1"/>
    <d v="2024-09-12T00:00:00"/>
    <x v="1"/>
    <s v="Wrapped is here! Relive your top tracks "/>
    <n v="1839"/>
    <n v="223"/>
    <n v="171"/>
    <n v="35459"/>
    <n v="69988"/>
    <n v="114"/>
    <x v="2"/>
    <x v="2"/>
    <x v="0"/>
    <s v="ChillVibes"/>
    <n v="2233"/>
    <n v="6.2974139146620034E-2"/>
    <m/>
    <m/>
    <m/>
  </r>
  <r>
    <s v="SP202"/>
    <x v="1"/>
    <d v="2024-01-11T00:00:00"/>
    <x v="1"/>
    <s v="Wrapped is here! Relive your top tracks "/>
    <n v="2340"/>
    <n v="141"/>
    <n v="206"/>
    <n v="24916"/>
    <n v="30582"/>
    <n v="157"/>
    <x v="0"/>
    <x v="0"/>
    <x v="0"/>
    <s v="ChillVibes"/>
    <n v="2687"/>
    <n v="0.10784235029699792"/>
    <m/>
    <m/>
    <m/>
  </r>
  <r>
    <s v="SP203"/>
    <x v="0"/>
    <d v="2024-10-06T00:00:00"/>
    <x v="0"/>
    <s v="Top trending tracks updated daily!"/>
    <n v="2080"/>
    <n v="389"/>
    <n v="92"/>
    <n v="30971"/>
    <n v="25347"/>
    <n v="111"/>
    <x v="1"/>
    <x v="1"/>
    <x v="1"/>
    <s v="IndieWave"/>
    <n v="2561"/>
    <n v="8.2690258629040073E-2"/>
    <m/>
    <m/>
    <m/>
  </r>
  <r>
    <s v="SP204"/>
    <x v="1"/>
    <d v="2024-12-30T00:00:00"/>
    <x v="0"/>
    <s v="Get into the groove with our new drop!"/>
    <n v="4214"/>
    <n v="286"/>
    <n v="127"/>
    <n v="47293"/>
    <n v="27184"/>
    <n v="232"/>
    <x v="5"/>
    <x v="3"/>
    <x v="1"/>
    <s v="ChillVibes"/>
    <n v="4627"/>
    <n v="9.7836889180216949E-2"/>
    <m/>
    <m/>
    <m/>
  </r>
  <r>
    <s v="SP205"/>
    <x v="1"/>
    <d v="2025-04-16T00:00:00"/>
    <x v="0"/>
    <s v="Wrapped is here! Relive your top tracks "/>
    <n v="3792"/>
    <n v="315"/>
    <n v="120"/>
    <n v="54592"/>
    <n v="67886"/>
    <n v="117"/>
    <x v="6"/>
    <x v="0"/>
    <x v="1"/>
    <s v="IndieWave"/>
    <n v="4227"/>
    <n v="7.7428927315357568E-2"/>
    <m/>
    <m/>
    <m/>
  </r>
  <r>
    <s v="SP206"/>
    <x v="1"/>
    <d v="2024-08-21T00:00:00"/>
    <x v="1"/>
    <s v="Explore the latest podcasts now."/>
    <n v="3989"/>
    <n v="476"/>
    <n v="128"/>
    <n v="57569"/>
    <n v="40193"/>
    <n v="222"/>
    <x v="4"/>
    <x v="1"/>
    <x v="3"/>
    <s v="ChillVibes"/>
    <n v="4593"/>
    <n v="7.9782521843353188E-2"/>
    <m/>
    <m/>
    <m/>
  </r>
  <r>
    <s v="SP207"/>
    <x v="1"/>
    <d v="2024-04-05T00:00:00"/>
    <x v="1"/>
    <s v="Wrapped is here! Relive your top tracks "/>
    <n v="2857"/>
    <n v="443"/>
    <n v="359"/>
    <n v="51519"/>
    <n v="28256"/>
    <n v="155"/>
    <x v="0"/>
    <x v="0"/>
    <x v="0"/>
    <s v="ChillVibes"/>
    <n v="3659"/>
    <n v="7.1022341272152026E-2"/>
    <m/>
    <m/>
    <m/>
  </r>
  <r>
    <s v="SP208"/>
    <x v="1"/>
    <d v="2025-04-07T00:00:00"/>
    <x v="0"/>
    <s v="From pop to podcasts, its all here."/>
    <n v="1403"/>
    <n v="385"/>
    <n v="344"/>
    <n v="54223"/>
    <n v="72595"/>
    <n v="239"/>
    <x v="6"/>
    <x v="0"/>
    <x v="1"/>
    <s v="IndieWave"/>
    <n v="2132"/>
    <n v="3.9319108127547353E-2"/>
    <m/>
    <m/>
    <m/>
  </r>
  <r>
    <s v="SP209"/>
    <x v="1"/>
    <d v="2024-07-19T00:00:00"/>
    <x v="1"/>
    <s v="What's your vibe today? #SpotifyHits"/>
    <n v="3071"/>
    <n v="126"/>
    <n v="200"/>
    <n v="44013"/>
    <n v="44679"/>
    <n v="118"/>
    <x v="4"/>
    <x v="1"/>
    <x v="3"/>
    <s v="ChillVibes"/>
    <n v="3397"/>
    <n v="7.7181741758116915E-2"/>
    <m/>
    <m/>
    <m/>
  </r>
  <r>
    <s v="SP210"/>
    <x v="1"/>
    <d v="2025-05-03T00:00:00"/>
    <x v="1"/>
    <s v="Top trending tracks updated daily!"/>
    <n v="1010"/>
    <n v="361"/>
    <n v="240"/>
    <n v="47229"/>
    <n v="72573"/>
    <n v="275"/>
    <x v="0"/>
    <x v="0"/>
    <x v="0"/>
    <s v="ChillVibes"/>
    <n v="1611"/>
    <n v="3.4110398272247981E-2"/>
    <m/>
    <m/>
    <m/>
  </r>
  <r>
    <s v="SP211"/>
    <x v="1"/>
    <d v="2024-04-14T00:00:00"/>
    <x v="1"/>
    <s v="Discover fresh beats on Spotify!"/>
    <n v="1295"/>
    <n v="153"/>
    <n v="81"/>
    <n v="48350"/>
    <n v="61033"/>
    <n v="232"/>
    <x v="4"/>
    <x v="1"/>
    <x v="3"/>
    <s v="ChillVibes"/>
    <n v="1529"/>
    <n v="3.1623578076525334E-2"/>
    <m/>
    <m/>
    <m/>
  </r>
  <r>
    <s v="SP212"/>
    <x v="1"/>
    <d v="2025-06-19T00:00:00"/>
    <x v="1"/>
    <s v="What's your vibe today? #SpotifyHits"/>
    <n v="1433"/>
    <n v="452"/>
    <n v="305"/>
    <n v="54541"/>
    <n v="63700"/>
    <n v="296"/>
    <x v="4"/>
    <x v="1"/>
    <x v="3"/>
    <s v="ChillVibes"/>
    <n v="2190"/>
    <n v="4.0153279184466734E-2"/>
    <m/>
    <m/>
    <m/>
  </r>
  <r>
    <s v="SP213"/>
    <x v="0"/>
    <d v="2025-06-24T00:00:00"/>
    <x v="1"/>
    <s v="Get into the groove with our new drop!"/>
    <n v="4902"/>
    <n v="422"/>
    <n v="376"/>
    <n v="31674"/>
    <n v="53225"/>
    <n v="147"/>
    <x v="5"/>
    <x v="3"/>
    <x v="1"/>
    <s v="Wrapped2024"/>
    <n v="5700"/>
    <n v="0.17995832544042431"/>
    <m/>
    <m/>
    <m/>
  </r>
  <r>
    <s v="SP214"/>
    <x v="1"/>
    <d v="2024-10-09T00:00:00"/>
    <x v="0"/>
    <s v="Wrapped is here! Relive your top tracks "/>
    <n v="2659"/>
    <n v="167"/>
    <n v="73"/>
    <n v="23090"/>
    <n v="25872"/>
    <n v="293"/>
    <x v="6"/>
    <x v="0"/>
    <x v="1"/>
    <s v="IndieWave"/>
    <n v="2899"/>
    <n v="0.12555218709398008"/>
    <m/>
    <m/>
    <m/>
  </r>
  <r>
    <s v="SP215"/>
    <x v="2"/>
    <d v="2025-01-15T00:00:00"/>
    <x v="0"/>
    <s v="Your weekend playlist is waiting."/>
    <n v="2599"/>
    <n v="324"/>
    <n v="182"/>
    <n v="37525"/>
    <n v="37216"/>
    <n v="186"/>
    <x v="3"/>
    <x v="1"/>
    <x v="2"/>
    <s v="IndieWave"/>
    <n v="3105"/>
    <n v="8.2744836775483013E-2"/>
    <m/>
    <m/>
    <m/>
  </r>
  <r>
    <s v="SP216"/>
    <x v="1"/>
    <d v="2025-01-12T00:00:00"/>
    <x v="0"/>
    <s v="Music that moves you only on Spotify."/>
    <n v="1765"/>
    <n v="285"/>
    <n v="100"/>
    <n v="41313"/>
    <n v="56575"/>
    <n v="174"/>
    <x v="6"/>
    <x v="0"/>
    <x v="1"/>
    <s v="IndieWave"/>
    <n v="2150"/>
    <n v="5.2041730205988429E-2"/>
    <m/>
    <m/>
    <m/>
  </r>
  <r>
    <s v="SP217"/>
    <x v="0"/>
    <d v="2025-05-31T00:00:00"/>
    <x v="0"/>
    <s v="What's your vibe today? #SpotifyHits"/>
    <n v="2169"/>
    <n v="240"/>
    <n v="57"/>
    <n v="26109"/>
    <n v="46667"/>
    <n v="133"/>
    <x v="0"/>
    <x v="0"/>
    <x v="0"/>
    <s v="ChillVibes"/>
    <n v="2466"/>
    <n v="9.4450189589796618E-2"/>
    <m/>
    <m/>
    <m/>
  </r>
  <r>
    <s v="SP218"/>
    <x v="1"/>
    <d v="2024-10-14T00:00:00"/>
    <x v="1"/>
    <s v="Explore the latest podcasts now."/>
    <n v="4303"/>
    <n v="306"/>
    <n v="302"/>
    <n v="39575"/>
    <n v="33762"/>
    <n v="265"/>
    <x v="4"/>
    <x v="1"/>
    <x v="3"/>
    <s v="ChillVibes"/>
    <n v="4911"/>
    <n v="0.12409349336702463"/>
    <m/>
    <m/>
    <m/>
  </r>
  <r>
    <s v="SP219"/>
    <x v="1"/>
    <d v="2024-02-10T00:00:00"/>
    <x v="0"/>
    <s v="From pop to podcasts, its all here."/>
    <n v="1519"/>
    <n v="456"/>
    <n v="379"/>
    <n v="51611"/>
    <n v="45880"/>
    <n v="176"/>
    <x v="6"/>
    <x v="0"/>
    <x v="1"/>
    <s v="IndieWave"/>
    <n v="2354"/>
    <n v="4.5610431884675749E-2"/>
    <m/>
    <m/>
    <m/>
  </r>
  <r>
    <s v="SP220"/>
    <x v="2"/>
    <d v="2024-12-10T00:00:00"/>
    <x v="0"/>
    <s v="What's your vibe today? #SpotifyHits"/>
    <n v="2569"/>
    <n v="140"/>
    <n v="375"/>
    <n v="38372"/>
    <n v="22102"/>
    <n v="255"/>
    <x v="3"/>
    <x v="1"/>
    <x v="2"/>
    <s v="IndieWave"/>
    <n v="3084"/>
    <n v="8.0371103929948923E-2"/>
    <m/>
    <m/>
    <m/>
  </r>
  <r>
    <s v="SP221"/>
    <x v="1"/>
    <d v="2025-05-09T00:00:00"/>
    <x v="1"/>
    <s v="Music that moves you only on Spotify."/>
    <n v="2778"/>
    <n v="241"/>
    <n v="317"/>
    <n v="26247"/>
    <n v="20677"/>
    <n v="282"/>
    <x v="2"/>
    <x v="2"/>
    <x v="0"/>
    <s v="ChillVibes"/>
    <n v="3336"/>
    <n v="0.1271002400274317"/>
    <m/>
    <m/>
    <m/>
  </r>
  <r>
    <s v="SP222"/>
    <x v="1"/>
    <d v="2025-06-21T00:00:00"/>
    <x v="0"/>
    <s v="Explore the latest podcasts now."/>
    <n v="3611"/>
    <n v="127"/>
    <n v="139"/>
    <n v="44768"/>
    <n v="29435"/>
    <n v="178"/>
    <x v="5"/>
    <x v="3"/>
    <x v="1"/>
    <s v="ChillVibes"/>
    <n v="3877"/>
    <n v="8.6602037169406718E-2"/>
    <m/>
    <m/>
    <m/>
  </r>
  <r>
    <s v="SP223"/>
    <x v="1"/>
    <d v="2024-06-19T00:00:00"/>
    <x v="0"/>
    <s v="What's your vibe today? #SpotifyHits"/>
    <n v="1224"/>
    <n v="168"/>
    <n v="199"/>
    <n v="54232"/>
    <n v="52844"/>
    <n v="271"/>
    <x v="6"/>
    <x v="0"/>
    <x v="1"/>
    <s v="IndieWave"/>
    <n v="1591"/>
    <n v="2.9336922849977874E-2"/>
    <m/>
    <m/>
    <m/>
  </r>
  <r>
    <s v="SP224"/>
    <x v="1"/>
    <d v="2024-12-10T00:00:00"/>
    <x v="0"/>
    <s v="From pop to podcasts, its all here."/>
    <n v="4673"/>
    <n v="270"/>
    <n v="93"/>
    <n v="45260"/>
    <n v="57513"/>
    <n v="103"/>
    <x v="5"/>
    <x v="3"/>
    <x v="1"/>
    <s v="ChillVibes"/>
    <n v="5036"/>
    <n v="0.11126822801590809"/>
    <m/>
    <m/>
    <m/>
  </r>
  <r>
    <s v="SP225"/>
    <x v="2"/>
    <d v="2024-02-01T00:00:00"/>
    <x v="0"/>
    <s v="Wrapped is here! Relive your top tracks "/>
    <n v="1432"/>
    <n v="437"/>
    <n v="267"/>
    <n v="40634"/>
    <n v="54511"/>
    <n v="197"/>
    <x v="3"/>
    <x v="1"/>
    <x v="2"/>
    <s v="IndieWave"/>
    <n v="2136"/>
    <n v="5.2566815966924252E-2"/>
    <m/>
    <m/>
    <m/>
  </r>
  <r>
    <s v="SP226"/>
    <x v="1"/>
    <d v="2024-01-17T00:00:00"/>
    <x v="1"/>
    <s v="New music just dropped. Hit play!"/>
    <n v="2174"/>
    <n v="499"/>
    <n v="212"/>
    <n v="54938"/>
    <n v="27190"/>
    <n v="265"/>
    <x v="2"/>
    <x v="2"/>
    <x v="0"/>
    <s v="ChillVibes"/>
    <n v="2885"/>
    <n v="5.2513742764570971E-2"/>
    <m/>
    <m/>
    <m/>
  </r>
  <r>
    <s v="SP227"/>
    <x v="2"/>
    <d v="2025-03-22T00:00:00"/>
    <x v="0"/>
    <s v="Music that moves you only on Spotify."/>
    <n v="4308"/>
    <n v="171"/>
    <n v="106"/>
    <n v="36955"/>
    <n v="23949"/>
    <n v="294"/>
    <x v="3"/>
    <x v="1"/>
    <x v="2"/>
    <s v="IndieWave"/>
    <n v="4585"/>
    <n v="0.12406981463942633"/>
    <m/>
    <m/>
    <m/>
  </r>
  <r>
    <s v="SP228"/>
    <x v="2"/>
    <d v="2024-05-30T00:00:00"/>
    <x v="2"/>
    <s v="What's your vibe today? #SpotifyHits"/>
    <n v="1060"/>
    <n v="442"/>
    <n v="319"/>
    <n v="57194"/>
    <n v="24258"/>
    <n v="101"/>
    <x v="7"/>
    <x v="1"/>
    <x v="4"/>
    <s v="SummerBeats"/>
    <n v="1821"/>
    <n v="3.1839004091338254E-2"/>
    <m/>
    <m/>
    <m/>
  </r>
  <r>
    <s v="SP229"/>
    <x v="2"/>
    <d v="2024-02-24T00:00:00"/>
    <x v="0"/>
    <s v="Music that moves you only on Spotify."/>
    <n v="4653"/>
    <n v="226"/>
    <n v="349"/>
    <n v="56876"/>
    <n v="28452"/>
    <n v="257"/>
    <x v="3"/>
    <x v="1"/>
    <x v="2"/>
    <s v="IndieWave"/>
    <n v="5228"/>
    <n v="9.191926295801392E-2"/>
    <m/>
    <m/>
    <m/>
  </r>
  <r>
    <s v="SP230"/>
    <x v="2"/>
    <d v="2025-05-14T00:00:00"/>
    <x v="0"/>
    <s v="Discover fresh beats on Spotify!"/>
    <n v="1701"/>
    <n v="272"/>
    <n v="385"/>
    <n v="47496"/>
    <n v="40832"/>
    <n v="246"/>
    <x v="3"/>
    <x v="1"/>
    <x v="2"/>
    <s v="IndieWave"/>
    <n v="2358"/>
    <n v="4.9646286003031836E-2"/>
    <m/>
    <m/>
    <m/>
  </r>
  <r>
    <s v="SP231"/>
    <x v="0"/>
    <d v="2024-03-28T00:00:00"/>
    <x v="0"/>
    <s v="What's your vibe today? #SpotifyHits"/>
    <n v="1673"/>
    <n v="280"/>
    <n v="67"/>
    <n v="29847"/>
    <n v="48016"/>
    <n v="213"/>
    <x v="0"/>
    <x v="0"/>
    <x v="0"/>
    <s v="ChillVibes"/>
    <n v="2020"/>
    <n v="6.76784936509532E-2"/>
    <m/>
    <m/>
    <m/>
  </r>
  <r>
    <s v="SP232"/>
    <x v="2"/>
    <d v="2025-03-07T00:00:00"/>
    <x v="0"/>
    <s v="Top trending tracks updated daily!"/>
    <n v="4310"/>
    <n v="284"/>
    <n v="306"/>
    <n v="44606"/>
    <n v="42604"/>
    <n v="290"/>
    <x v="3"/>
    <x v="1"/>
    <x v="2"/>
    <s v="IndieWave"/>
    <n v="4900"/>
    <n v="0.10985069273191947"/>
    <m/>
    <m/>
    <m/>
  </r>
  <r>
    <s v="SP233"/>
    <x v="1"/>
    <d v="2024-10-20T00:00:00"/>
    <x v="0"/>
    <s v="From pop to podcasts, its all here."/>
    <n v="2752"/>
    <n v="309"/>
    <n v="91"/>
    <n v="39038"/>
    <n v="28095"/>
    <n v="277"/>
    <x v="5"/>
    <x v="3"/>
    <x v="1"/>
    <s v="ChillVibes"/>
    <n v="3152"/>
    <n v="8.0741841282852611E-2"/>
    <m/>
    <m/>
    <m/>
  </r>
  <r>
    <s v="SP234"/>
    <x v="1"/>
    <d v="2024-02-02T00:00:00"/>
    <x v="0"/>
    <s v="From pop to podcasts, its all here."/>
    <n v="3818"/>
    <n v="115"/>
    <n v="286"/>
    <n v="25127"/>
    <n v="22277"/>
    <n v="263"/>
    <x v="5"/>
    <x v="3"/>
    <x v="1"/>
    <s v="ChillVibes"/>
    <n v="4219"/>
    <n v="0.16790703227603773"/>
    <m/>
    <m/>
    <m/>
  </r>
  <r>
    <s v="SP235"/>
    <x v="2"/>
    <d v="2024-09-07T00:00:00"/>
    <x v="0"/>
    <s v="Your weekend playlist is waiting."/>
    <n v="2101"/>
    <n v="411"/>
    <n v="190"/>
    <n v="41791"/>
    <n v="57090"/>
    <n v="172"/>
    <x v="3"/>
    <x v="1"/>
    <x v="2"/>
    <s v="IndieWave"/>
    <n v="2702"/>
    <n v="6.4655069273288512E-2"/>
    <m/>
    <m/>
    <m/>
  </r>
  <r>
    <s v="SP236"/>
    <x v="0"/>
    <d v="2024-12-20T00:00:00"/>
    <x v="0"/>
    <s v="Discover fresh beats on Spotify!"/>
    <n v="2519"/>
    <n v="202"/>
    <n v="239"/>
    <n v="36245"/>
    <n v="48606"/>
    <n v="145"/>
    <x v="1"/>
    <x v="1"/>
    <x v="1"/>
    <s v="IndieWave"/>
    <n v="2960"/>
    <n v="8.1666436749896543E-2"/>
    <m/>
    <m/>
    <m/>
  </r>
  <r>
    <s v="SP237"/>
    <x v="2"/>
    <d v="2024-01-14T00:00:00"/>
    <x v="0"/>
    <s v="What's your vibe today? #SpotifyHits"/>
    <n v="4502"/>
    <n v="238"/>
    <n v="386"/>
    <n v="39198"/>
    <n v="25050"/>
    <n v="297"/>
    <x v="3"/>
    <x v="1"/>
    <x v="2"/>
    <s v="IndieWave"/>
    <n v="5126"/>
    <n v="0.13077197816215114"/>
    <m/>
    <m/>
    <m/>
  </r>
  <r>
    <s v="SP238"/>
    <x v="0"/>
    <d v="2025-06-15T00:00:00"/>
    <x v="0"/>
    <s v="Explore the latest podcasts now."/>
    <n v="2478"/>
    <n v="427"/>
    <n v="242"/>
    <n v="59272"/>
    <n v="37833"/>
    <n v="214"/>
    <x v="0"/>
    <x v="0"/>
    <x v="0"/>
    <s v="ChillVibes"/>
    <n v="3147"/>
    <n v="5.3094209744904843E-2"/>
    <m/>
    <m/>
    <m/>
  </r>
  <r>
    <s v="SP239"/>
    <x v="1"/>
    <d v="2024-12-13T00:00:00"/>
    <x v="1"/>
    <s v="New music just dropped. Hit play!"/>
    <n v="4984"/>
    <n v="300"/>
    <n v="338"/>
    <n v="32900"/>
    <n v="31691"/>
    <n v="160"/>
    <x v="2"/>
    <x v="2"/>
    <x v="0"/>
    <s v="ChillVibes"/>
    <n v="5622"/>
    <n v="0.17088145896656534"/>
    <m/>
    <m/>
    <m/>
  </r>
  <r>
    <s v="SP240"/>
    <x v="2"/>
    <d v="2024-08-29T00:00:00"/>
    <x v="0"/>
    <s v="Wrapped is here! Relive your top tracks "/>
    <n v="4774"/>
    <n v="389"/>
    <n v="358"/>
    <n v="52346"/>
    <n v="30518"/>
    <n v="277"/>
    <x v="3"/>
    <x v="1"/>
    <x v="2"/>
    <s v="IndieWave"/>
    <n v="5521"/>
    <n v="0.10547128720437092"/>
    <m/>
    <m/>
    <m/>
  </r>
  <r>
    <s v="SP241"/>
    <x v="1"/>
    <d v="2024-09-15T00:00:00"/>
    <x v="0"/>
    <s v="Get into the groove with our new drop!"/>
    <n v="2145"/>
    <n v="340"/>
    <n v="85"/>
    <n v="53323"/>
    <n v="49938"/>
    <n v="104"/>
    <x v="5"/>
    <x v="3"/>
    <x v="1"/>
    <s v="ChillVibes"/>
    <n v="2570"/>
    <n v="4.819683813738912E-2"/>
    <m/>
    <m/>
    <m/>
  </r>
  <r>
    <s v="SP242"/>
    <x v="1"/>
    <d v="2025-04-12T00:00:00"/>
    <x v="1"/>
    <s v="From pop to podcasts, its all here."/>
    <n v="4315"/>
    <n v="208"/>
    <n v="273"/>
    <n v="35780"/>
    <n v="44349"/>
    <n v="133"/>
    <x v="4"/>
    <x v="1"/>
    <x v="3"/>
    <s v="ChillVibes"/>
    <n v="4796"/>
    <n v="0.13404136389044158"/>
    <m/>
    <m/>
    <m/>
  </r>
  <r>
    <s v="SP243"/>
    <x v="1"/>
    <d v="2024-12-10T00:00:00"/>
    <x v="1"/>
    <s v="Wrapped is here! Relive your top tracks "/>
    <n v="2267"/>
    <n v="230"/>
    <n v="243"/>
    <n v="27904"/>
    <n v="69771"/>
    <n v="255"/>
    <x v="4"/>
    <x v="1"/>
    <x v="3"/>
    <s v="ChillVibes"/>
    <n v="2740"/>
    <n v="9.8193807339449546E-2"/>
    <m/>
    <m/>
    <m/>
  </r>
  <r>
    <s v="SP244"/>
    <x v="2"/>
    <d v="2025-06-08T00:00:00"/>
    <x v="0"/>
    <s v="Music that moves you only on Spotify."/>
    <n v="4375"/>
    <n v="303"/>
    <n v="294"/>
    <n v="57468"/>
    <n v="53397"/>
    <n v="159"/>
    <x v="3"/>
    <x v="1"/>
    <x v="2"/>
    <s v="IndieWave"/>
    <n v="4972"/>
    <n v="8.6517714206166912E-2"/>
    <m/>
    <m/>
    <m/>
  </r>
  <r>
    <s v="SP245"/>
    <x v="1"/>
    <d v="2025-01-09T00:00:00"/>
    <x v="1"/>
    <s v="Your weekend playlist is waiting."/>
    <n v="3817"/>
    <n v="284"/>
    <n v="204"/>
    <n v="46434"/>
    <n v="53396"/>
    <n v="104"/>
    <x v="2"/>
    <x v="2"/>
    <x v="0"/>
    <s v="ChillVibes"/>
    <n v="4305"/>
    <n v="9.2712236723090841E-2"/>
    <m/>
    <m/>
    <m/>
  </r>
  <r>
    <s v="SP246"/>
    <x v="1"/>
    <d v="2024-07-08T00:00:00"/>
    <x v="1"/>
    <s v="Top trending tracks updated daily!"/>
    <n v="2981"/>
    <n v="258"/>
    <n v="168"/>
    <n v="20677"/>
    <n v="68290"/>
    <n v="130"/>
    <x v="0"/>
    <x v="0"/>
    <x v="0"/>
    <s v="ChillVibes"/>
    <n v="3407"/>
    <n v="0.16477245248343569"/>
    <m/>
    <m/>
    <m/>
  </r>
  <r>
    <s v="SP247"/>
    <x v="1"/>
    <d v="2024-09-16T00:00:00"/>
    <x v="1"/>
    <s v="Your weekend playlist is waiting."/>
    <n v="3300"/>
    <n v="354"/>
    <n v="397"/>
    <n v="56773"/>
    <n v="72110"/>
    <n v="163"/>
    <x v="4"/>
    <x v="1"/>
    <x v="3"/>
    <s v="ChillVibes"/>
    <n v="4051"/>
    <n v="7.1354340971940891E-2"/>
    <m/>
    <m/>
    <m/>
  </r>
  <r>
    <s v="SP248"/>
    <x v="2"/>
    <d v="2024-06-14T00:00:00"/>
    <x v="2"/>
    <s v="Wrapped is here! Relive your top tracks "/>
    <n v="4722"/>
    <n v="310"/>
    <n v="344"/>
    <n v="27911"/>
    <n v="19000"/>
    <n v="225"/>
    <x v="7"/>
    <x v="1"/>
    <x v="4"/>
    <s v="SummerBeats"/>
    <n v="5376"/>
    <n v="0.19261223173659131"/>
    <m/>
    <m/>
    <m/>
  </r>
  <r>
    <s v="SP249"/>
    <x v="0"/>
    <d v="2024-03-06T00:00:00"/>
    <x v="0"/>
    <s v="What's your vibe today? #SpotifyHits"/>
    <n v="3529"/>
    <n v="263"/>
    <n v="107"/>
    <n v="26570"/>
    <n v="19367"/>
    <n v="96"/>
    <x v="1"/>
    <x v="1"/>
    <x v="1"/>
    <s v="IndieWave"/>
    <n v="3899"/>
    <n v="0.14674444862627023"/>
    <m/>
    <m/>
    <m/>
  </r>
  <r>
    <s v="SP250"/>
    <x v="1"/>
    <d v="2025-05-15T00:00:00"/>
    <x v="0"/>
    <s v="Your weekend playlist is waiting."/>
    <n v="4782"/>
    <n v="210"/>
    <n v="311"/>
    <n v="29793"/>
    <n v="37543"/>
    <n v="145"/>
    <x v="5"/>
    <x v="3"/>
    <x v="1"/>
    <s v="ChillVibes"/>
    <n v="5303"/>
    <n v="0.17799483100057059"/>
    <m/>
    <m/>
    <m/>
  </r>
  <r>
    <s v="SP251"/>
    <x v="1"/>
    <d v="2024-07-07T00:00:00"/>
    <x v="0"/>
    <s v="What's your vibe today? #SpotifyHits"/>
    <n v="1848"/>
    <n v="417"/>
    <n v="294"/>
    <n v="57819"/>
    <n v="19798"/>
    <n v="262"/>
    <x v="6"/>
    <x v="0"/>
    <x v="1"/>
    <s v="IndieWave"/>
    <n v="2559"/>
    <n v="4.4258807658382193E-2"/>
    <m/>
    <m/>
    <m/>
  </r>
  <r>
    <s v="SP252"/>
    <x v="2"/>
    <d v="2024-10-26T00:00:00"/>
    <x v="0"/>
    <s v="New music just dropped. Hit play!"/>
    <n v="4676"/>
    <n v="211"/>
    <n v="55"/>
    <n v="45917"/>
    <n v="73503"/>
    <n v="248"/>
    <x v="3"/>
    <x v="1"/>
    <x v="2"/>
    <s v="IndieWave"/>
    <n v="4942"/>
    <n v="0.10762898272970794"/>
    <m/>
    <m/>
    <m/>
  </r>
  <r>
    <s v="SP253"/>
    <x v="2"/>
    <d v="2024-08-08T00:00:00"/>
    <x v="0"/>
    <s v="From pop to podcasts, its all here."/>
    <n v="1994"/>
    <n v="197"/>
    <n v="290"/>
    <n v="49500"/>
    <n v="23343"/>
    <n v="160"/>
    <x v="3"/>
    <x v="1"/>
    <x v="2"/>
    <s v="IndieWave"/>
    <n v="2481"/>
    <n v="5.0121212121212122E-2"/>
    <m/>
    <m/>
    <m/>
  </r>
  <r>
    <s v="SP254"/>
    <x v="1"/>
    <d v="2025-02-03T00:00:00"/>
    <x v="0"/>
    <s v="What's your vibe today? #SpotifyHits"/>
    <n v="4995"/>
    <n v="231"/>
    <n v="94"/>
    <n v="34431"/>
    <n v="32560"/>
    <n v="262"/>
    <x v="5"/>
    <x v="3"/>
    <x v="1"/>
    <s v="ChillVibes"/>
    <n v="5320"/>
    <n v="0.15451192239551567"/>
    <m/>
    <m/>
    <m/>
  </r>
  <r>
    <s v="SP255"/>
    <x v="1"/>
    <d v="2024-04-03T00:00:00"/>
    <x v="1"/>
    <s v="Top trending tracks updated daily!"/>
    <n v="2291"/>
    <n v="146"/>
    <n v="399"/>
    <n v="49319"/>
    <n v="28056"/>
    <n v="90"/>
    <x v="4"/>
    <x v="1"/>
    <x v="3"/>
    <s v="ChillVibes"/>
    <n v="2836"/>
    <n v="5.7503193495407452E-2"/>
    <m/>
    <m/>
    <m/>
  </r>
  <r>
    <s v="SP256"/>
    <x v="1"/>
    <d v="2024-07-08T00:00:00"/>
    <x v="1"/>
    <s v="Wrapped is here! Relive your top tracks "/>
    <n v="2304"/>
    <n v="289"/>
    <n v="161"/>
    <n v="52645"/>
    <n v="66262"/>
    <n v="146"/>
    <x v="2"/>
    <x v="2"/>
    <x v="0"/>
    <s v="ChillVibes"/>
    <n v="2754"/>
    <n v="5.2312660271630736E-2"/>
    <m/>
    <m/>
    <m/>
  </r>
  <r>
    <s v="SP257"/>
    <x v="1"/>
    <d v="2024-06-08T00:00:00"/>
    <x v="1"/>
    <s v="Top trending tracks updated daily!"/>
    <n v="3413"/>
    <n v="326"/>
    <n v="86"/>
    <n v="44680"/>
    <n v="52719"/>
    <n v="272"/>
    <x v="4"/>
    <x v="1"/>
    <x v="3"/>
    <s v="ChillVibes"/>
    <n v="3825"/>
    <n v="8.5608773500447627E-2"/>
    <m/>
    <m/>
    <m/>
  </r>
  <r>
    <s v="SP258"/>
    <x v="2"/>
    <d v="2025-03-20T00:00:00"/>
    <x v="2"/>
    <s v="From pop to podcasts, its all here."/>
    <n v="1453"/>
    <n v="156"/>
    <n v="178"/>
    <n v="52980"/>
    <n v="57180"/>
    <n v="286"/>
    <x v="7"/>
    <x v="1"/>
    <x v="4"/>
    <s v="SummerBeats"/>
    <n v="1787"/>
    <n v="3.3729709324273313E-2"/>
    <m/>
    <m/>
    <m/>
  </r>
  <r>
    <s v="SP259"/>
    <x v="1"/>
    <d v="2025-01-19T00:00:00"/>
    <x v="1"/>
    <s v="Music that moves you only on Spotify."/>
    <n v="1651"/>
    <n v="480"/>
    <n v="282"/>
    <n v="32140"/>
    <n v="70560"/>
    <n v="138"/>
    <x v="0"/>
    <x v="0"/>
    <x v="0"/>
    <s v="ChillVibes"/>
    <n v="2413"/>
    <n v="7.5077784691972627E-2"/>
    <m/>
    <m/>
    <m/>
  </r>
  <r>
    <s v="SP260"/>
    <x v="1"/>
    <d v="2025-01-05T00:00:00"/>
    <x v="1"/>
    <s v="Explore the latest podcasts now."/>
    <n v="3341"/>
    <n v="154"/>
    <n v="123"/>
    <n v="43369"/>
    <n v="49035"/>
    <n v="128"/>
    <x v="2"/>
    <x v="2"/>
    <x v="0"/>
    <s v="ChillVibes"/>
    <n v="3618"/>
    <n v="8.3423643616408028E-2"/>
    <m/>
    <m/>
    <m/>
  </r>
  <r>
    <s v="SP261"/>
    <x v="1"/>
    <d v="2024-11-16T00:00:00"/>
    <x v="0"/>
    <s v="From pop to podcasts, its all here."/>
    <n v="2972"/>
    <n v="263"/>
    <n v="308"/>
    <n v="51740"/>
    <n v="28214"/>
    <n v="190"/>
    <x v="6"/>
    <x v="0"/>
    <x v="1"/>
    <s v="IndieWave"/>
    <n v="3543"/>
    <n v="6.8477000386548123E-2"/>
    <m/>
    <m/>
    <m/>
  </r>
  <r>
    <s v="SP262"/>
    <x v="1"/>
    <d v="2024-11-30T00:00:00"/>
    <x v="1"/>
    <s v="Explore the latest podcasts now."/>
    <n v="4963"/>
    <n v="255"/>
    <n v="193"/>
    <n v="44386"/>
    <n v="28415"/>
    <n v="174"/>
    <x v="2"/>
    <x v="2"/>
    <x v="0"/>
    <s v="ChillVibes"/>
    <n v="5411"/>
    <n v="0.12190780876853062"/>
    <m/>
    <m/>
    <m/>
  </r>
  <r>
    <s v="SP263"/>
    <x v="2"/>
    <d v="2024-03-27T00:00:00"/>
    <x v="0"/>
    <s v="Music that moves you only on Spotify."/>
    <n v="2399"/>
    <n v="191"/>
    <n v="221"/>
    <n v="51603"/>
    <n v="40033"/>
    <n v="173"/>
    <x v="3"/>
    <x v="1"/>
    <x v="2"/>
    <s v="IndieWave"/>
    <n v="2811"/>
    <n v="5.4473577117609438E-2"/>
    <m/>
    <m/>
    <m/>
  </r>
  <r>
    <s v="SP264"/>
    <x v="2"/>
    <d v="2025-05-31T00:00:00"/>
    <x v="2"/>
    <s v="Get into the groove with our new drop!"/>
    <n v="2162"/>
    <n v="318"/>
    <n v="83"/>
    <n v="46719"/>
    <n v="20482"/>
    <n v="185"/>
    <x v="7"/>
    <x v="1"/>
    <x v="4"/>
    <s v="SummerBeats"/>
    <n v="2563"/>
    <n v="5.4859907104176028E-2"/>
    <m/>
    <m/>
    <m/>
  </r>
  <r>
    <s v="SP265"/>
    <x v="1"/>
    <d v="2025-06-17T00:00:00"/>
    <x v="1"/>
    <s v="Explore the latest podcasts now."/>
    <n v="4341"/>
    <n v="141"/>
    <n v="63"/>
    <n v="50081"/>
    <n v="27507"/>
    <n v="221"/>
    <x v="4"/>
    <x v="1"/>
    <x v="3"/>
    <s v="ChillVibes"/>
    <n v="4545"/>
    <n v="9.0752980172121162E-2"/>
    <m/>
    <m/>
    <m/>
  </r>
  <r>
    <s v="SP266"/>
    <x v="0"/>
    <d v="2024-05-30T00:00:00"/>
    <x v="1"/>
    <s v="Get into the groove with our new drop!"/>
    <n v="2448"/>
    <n v="464"/>
    <n v="98"/>
    <n v="25737"/>
    <n v="48545"/>
    <n v="246"/>
    <x v="5"/>
    <x v="3"/>
    <x v="1"/>
    <s v="Wrapped2024"/>
    <n v="3010"/>
    <n v="0.11695224773672146"/>
    <m/>
    <m/>
    <m/>
  </r>
  <r>
    <s v="SP267"/>
    <x v="2"/>
    <d v="2024-11-08T00:00:00"/>
    <x v="0"/>
    <s v="Top trending tracks updated daily!"/>
    <n v="2471"/>
    <n v="166"/>
    <n v="320"/>
    <n v="48254"/>
    <n v="46900"/>
    <n v="111"/>
    <x v="3"/>
    <x v="1"/>
    <x v="2"/>
    <s v="IndieWave"/>
    <n v="2957"/>
    <n v="6.1279893894806647E-2"/>
    <m/>
    <m/>
    <m/>
  </r>
  <r>
    <s v="SP268"/>
    <x v="2"/>
    <d v="2024-03-17T00:00:00"/>
    <x v="2"/>
    <s v="Explore the latest podcasts now."/>
    <n v="2692"/>
    <n v="446"/>
    <n v="216"/>
    <n v="45818"/>
    <n v="62723"/>
    <n v="85"/>
    <x v="7"/>
    <x v="1"/>
    <x v="4"/>
    <s v="SummerBeats"/>
    <n v="3354"/>
    <n v="7.3202671439172376E-2"/>
    <m/>
    <m/>
    <m/>
  </r>
  <r>
    <s v="SP269"/>
    <x v="2"/>
    <d v="2024-06-21T00:00:00"/>
    <x v="2"/>
    <s v="Music that moves you only on Spotify."/>
    <n v="4621"/>
    <n v="374"/>
    <n v="298"/>
    <n v="56979"/>
    <n v="24098"/>
    <n v="205"/>
    <x v="7"/>
    <x v="1"/>
    <x v="4"/>
    <s v="SummerBeats"/>
    <n v="5293"/>
    <n v="9.2893873181347508E-2"/>
    <m/>
    <m/>
    <m/>
  </r>
  <r>
    <s v="SP270"/>
    <x v="1"/>
    <d v="2024-11-13T00:00:00"/>
    <x v="1"/>
    <s v="New music just dropped. Hit play!"/>
    <n v="1409"/>
    <n v="466"/>
    <n v="105"/>
    <n v="58923"/>
    <n v="38753"/>
    <n v="265"/>
    <x v="4"/>
    <x v="1"/>
    <x v="3"/>
    <s v="ChillVibes"/>
    <n v="1980"/>
    <n v="3.3603177027646251E-2"/>
    <m/>
    <m/>
    <m/>
  </r>
  <r>
    <s v="SP271"/>
    <x v="1"/>
    <d v="2025-02-05T00:00:00"/>
    <x v="1"/>
    <s v="Discover fresh beats on Spotify!"/>
    <n v="3029"/>
    <n v="440"/>
    <n v="66"/>
    <n v="23815"/>
    <n v="47895"/>
    <n v="210"/>
    <x v="4"/>
    <x v="1"/>
    <x v="3"/>
    <s v="ChillVibes"/>
    <n v="3535"/>
    <n v="0.14843585975225698"/>
    <m/>
    <m/>
    <m/>
  </r>
  <r>
    <s v="SP272"/>
    <x v="1"/>
    <d v="2024-11-07T00:00:00"/>
    <x v="0"/>
    <s v="Explore the latest podcasts now."/>
    <n v="2229"/>
    <n v="395"/>
    <n v="328"/>
    <n v="56921"/>
    <n v="37176"/>
    <n v="126"/>
    <x v="6"/>
    <x v="0"/>
    <x v="1"/>
    <s v="IndieWave"/>
    <n v="2952"/>
    <n v="5.1861351697967357E-2"/>
    <m/>
    <m/>
    <m/>
  </r>
  <r>
    <s v="SP273"/>
    <x v="1"/>
    <d v="2024-02-12T00:00:00"/>
    <x v="0"/>
    <s v="Explore the latest podcasts now."/>
    <n v="2691"/>
    <n v="486"/>
    <n v="206"/>
    <n v="51133"/>
    <n v="44583"/>
    <n v="276"/>
    <x v="5"/>
    <x v="3"/>
    <x v="1"/>
    <s v="ChillVibes"/>
    <n v="3383"/>
    <n v="6.6160796354604659E-2"/>
    <m/>
    <m/>
    <m/>
  </r>
  <r>
    <s v="SP274"/>
    <x v="0"/>
    <d v="2024-10-08T00:00:00"/>
    <x v="0"/>
    <s v="Explore the latest podcasts now."/>
    <n v="2110"/>
    <n v="384"/>
    <n v="236"/>
    <n v="49965"/>
    <n v="61555"/>
    <n v="195"/>
    <x v="1"/>
    <x v="1"/>
    <x v="1"/>
    <s v="IndieWave"/>
    <n v="2730"/>
    <n v="5.4638246772740921E-2"/>
    <m/>
    <m/>
    <m/>
  </r>
  <r>
    <s v="SP275"/>
    <x v="0"/>
    <d v="2024-02-19T00:00:00"/>
    <x v="0"/>
    <s v="Wrapped is here! Relive your top tracks "/>
    <n v="4752"/>
    <n v="449"/>
    <n v="309"/>
    <n v="58530"/>
    <n v="26630"/>
    <n v="234"/>
    <x v="1"/>
    <x v="1"/>
    <x v="1"/>
    <s v="IndieWave"/>
    <n v="5510"/>
    <n v="9.4139757389372969E-2"/>
    <m/>
    <m/>
    <m/>
  </r>
  <r>
    <s v="SP276"/>
    <x v="1"/>
    <d v="2025-03-04T00:00:00"/>
    <x v="0"/>
    <s v="Discover fresh beats on Spotify!"/>
    <n v="2177"/>
    <n v="258"/>
    <n v="292"/>
    <n v="47276"/>
    <n v="51324"/>
    <n v="143"/>
    <x v="5"/>
    <x v="3"/>
    <x v="1"/>
    <s v="ChillVibes"/>
    <n v="2727"/>
    <n v="5.7682545054573146E-2"/>
    <m/>
    <m/>
    <m/>
  </r>
  <r>
    <s v="SP277"/>
    <x v="0"/>
    <d v="2025-02-03T00:00:00"/>
    <x v="1"/>
    <s v="New music just dropped. Hit play!"/>
    <n v="1205"/>
    <n v="486"/>
    <n v="269"/>
    <n v="23341"/>
    <n v="42411"/>
    <n v="184"/>
    <x v="5"/>
    <x v="3"/>
    <x v="1"/>
    <s v="Wrapped2024"/>
    <n v="1960"/>
    <n v="8.3972409065592737E-2"/>
    <m/>
    <m/>
    <m/>
  </r>
  <r>
    <s v="SP278"/>
    <x v="0"/>
    <d v="2024-12-02T00:00:00"/>
    <x v="0"/>
    <s v="Top trending tracks updated daily!"/>
    <n v="3194"/>
    <n v="292"/>
    <n v="245"/>
    <n v="56371"/>
    <n v="65597"/>
    <n v="163"/>
    <x v="0"/>
    <x v="0"/>
    <x v="0"/>
    <s v="ChillVibes"/>
    <n v="3731"/>
    <n v="6.6186514342481059E-2"/>
    <m/>
    <m/>
    <m/>
  </r>
  <r>
    <s v="SP279"/>
    <x v="1"/>
    <d v="2025-01-19T00:00:00"/>
    <x v="1"/>
    <s v="New music just dropped. Hit play!"/>
    <n v="3507"/>
    <n v="295"/>
    <n v="371"/>
    <n v="20410"/>
    <n v="53965"/>
    <n v="212"/>
    <x v="0"/>
    <x v="0"/>
    <x v="0"/>
    <s v="ChillVibes"/>
    <n v="4173"/>
    <n v="0.20445859872611466"/>
    <m/>
    <m/>
    <m/>
  </r>
  <r>
    <s v="SP280"/>
    <x v="1"/>
    <d v="2024-09-28T00:00:00"/>
    <x v="1"/>
    <s v="Wrapped is here! Relive your top tracks "/>
    <n v="4471"/>
    <n v="317"/>
    <n v="249"/>
    <n v="44862"/>
    <n v="33365"/>
    <n v="184"/>
    <x v="4"/>
    <x v="1"/>
    <x v="3"/>
    <s v="ChillVibes"/>
    <n v="5037"/>
    <n v="0.1122776514644911"/>
    <m/>
    <m/>
    <m/>
  </r>
  <r>
    <s v="SP281"/>
    <x v="0"/>
    <d v="2024-01-07T00:00:00"/>
    <x v="0"/>
    <s v="Top trending tracks updated daily!"/>
    <n v="4931"/>
    <n v="469"/>
    <n v="193"/>
    <n v="56701"/>
    <n v="69437"/>
    <n v="291"/>
    <x v="0"/>
    <x v="0"/>
    <x v="0"/>
    <s v="ChillVibes"/>
    <n v="5593"/>
    <n v="9.8640235621946709E-2"/>
    <m/>
    <m/>
    <m/>
  </r>
  <r>
    <s v="SP282"/>
    <x v="1"/>
    <d v="2024-02-21T00:00:00"/>
    <x v="1"/>
    <s v="Get into the groove with our new drop!"/>
    <n v="2604"/>
    <n v="439"/>
    <n v="148"/>
    <n v="58468"/>
    <n v="39629"/>
    <n v="163"/>
    <x v="2"/>
    <x v="2"/>
    <x v="0"/>
    <s v="ChillVibes"/>
    <n v="3191"/>
    <n v="5.4576862557296296E-2"/>
    <m/>
    <m/>
    <m/>
  </r>
  <r>
    <s v="SP283"/>
    <x v="0"/>
    <d v="2024-08-27T00:00:00"/>
    <x v="0"/>
    <s v="Music that moves you only on Spotify."/>
    <n v="4197"/>
    <n v="359"/>
    <n v="280"/>
    <n v="56048"/>
    <n v="70930"/>
    <n v="295"/>
    <x v="1"/>
    <x v="1"/>
    <x v="1"/>
    <s v="IndieWave"/>
    <n v="4836"/>
    <n v="8.628318584070796E-2"/>
    <m/>
    <m/>
    <m/>
  </r>
  <r>
    <s v="SP284"/>
    <x v="0"/>
    <d v="2024-10-24T00:00:00"/>
    <x v="1"/>
    <s v="Top trending tracks updated daily!"/>
    <n v="1914"/>
    <n v="255"/>
    <n v="156"/>
    <n v="27660"/>
    <n v="47776"/>
    <n v="111"/>
    <x v="5"/>
    <x v="3"/>
    <x v="1"/>
    <s v="Wrapped2024"/>
    <n v="2325"/>
    <n v="8.4056399132321047E-2"/>
    <m/>
    <m/>
    <m/>
  </r>
  <r>
    <s v="SP285"/>
    <x v="2"/>
    <d v="2025-01-29T00:00:00"/>
    <x v="0"/>
    <s v="New music just dropped. Hit play!"/>
    <n v="1334"/>
    <n v="357"/>
    <n v="257"/>
    <n v="56910"/>
    <n v="70606"/>
    <n v="228"/>
    <x v="3"/>
    <x v="1"/>
    <x v="2"/>
    <s v="IndieWave"/>
    <n v="1948"/>
    <n v="3.4229485151994379E-2"/>
    <m/>
    <m/>
    <m/>
  </r>
  <r>
    <s v="SP286"/>
    <x v="0"/>
    <d v="2024-05-01T00:00:00"/>
    <x v="0"/>
    <s v="Get into the groove with our new drop!"/>
    <n v="3359"/>
    <n v="137"/>
    <n v="387"/>
    <n v="33861"/>
    <n v="47257"/>
    <n v="198"/>
    <x v="1"/>
    <x v="1"/>
    <x v="1"/>
    <s v="IndieWave"/>
    <n v="3883"/>
    <n v="0.11467469950680724"/>
    <m/>
    <m/>
    <m/>
  </r>
  <r>
    <s v="SP287"/>
    <x v="2"/>
    <d v="2024-06-25T00:00:00"/>
    <x v="0"/>
    <s v="Your weekend playlist is waiting."/>
    <n v="2172"/>
    <n v="338"/>
    <n v="70"/>
    <n v="30515"/>
    <n v="57853"/>
    <n v="156"/>
    <x v="3"/>
    <x v="1"/>
    <x v="2"/>
    <s v="IndieWave"/>
    <n v="2580"/>
    <n v="8.4548582664263475E-2"/>
    <m/>
    <m/>
    <m/>
  </r>
  <r>
    <s v="SP288"/>
    <x v="1"/>
    <d v="2024-08-09T00:00:00"/>
    <x v="1"/>
    <s v="From pop to podcasts, its all here."/>
    <n v="4877"/>
    <n v="442"/>
    <n v="236"/>
    <n v="52673"/>
    <n v="48241"/>
    <n v="114"/>
    <x v="4"/>
    <x v="1"/>
    <x v="3"/>
    <s v="ChillVibes"/>
    <n v="5555"/>
    <n v="0.10546200140489435"/>
    <m/>
    <m/>
    <m/>
  </r>
  <r>
    <s v="SP289"/>
    <x v="0"/>
    <d v="2025-01-21T00:00:00"/>
    <x v="1"/>
    <s v="New music just dropped. Hit play!"/>
    <n v="4918"/>
    <n v="440"/>
    <n v="149"/>
    <n v="53269"/>
    <n v="64370"/>
    <n v="269"/>
    <x v="5"/>
    <x v="3"/>
    <x v="1"/>
    <s v="Wrapped2024"/>
    <n v="5507"/>
    <n v="0.10338095327488783"/>
    <m/>
    <m/>
    <m/>
  </r>
  <r>
    <s v="SP290"/>
    <x v="1"/>
    <d v="2024-08-13T00:00:00"/>
    <x v="0"/>
    <s v="Explore the latest podcasts now."/>
    <n v="3418"/>
    <n v="107"/>
    <n v="221"/>
    <n v="23927"/>
    <n v="26182"/>
    <n v="155"/>
    <x v="6"/>
    <x v="0"/>
    <x v="1"/>
    <s v="IndieWave"/>
    <n v="3746"/>
    <n v="0.1565595352530614"/>
    <m/>
    <m/>
    <m/>
  </r>
  <r>
    <s v="SP291"/>
    <x v="0"/>
    <d v="2024-06-29T00:00:00"/>
    <x v="0"/>
    <s v="Your weekend playlist is waiting."/>
    <n v="2088"/>
    <n v="490"/>
    <n v="124"/>
    <n v="46544"/>
    <n v="69346"/>
    <n v="178"/>
    <x v="0"/>
    <x v="0"/>
    <x v="0"/>
    <s v="ChillVibes"/>
    <n v="2702"/>
    <n v="5.8052595393606049E-2"/>
    <m/>
    <m/>
    <m/>
  </r>
  <r>
    <s v="SP292"/>
    <x v="1"/>
    <d v="2024-11-03T00:00:00"/>
    <x v="1"/>
    <s v="Explore the latest podcasts now."/>
    <n v="3061"/>
    <n v="320"/>
    <n v="76"/>
    <n v="26640"/>
    <n v="24306"/>
    <n v="112"/>
    <x v="2"/>
    <x v="2"/>
    <x v="0"/>
    <s v="ChillVibes"/>
    <n v="3457"/>
    <n v="0.12976726726726726"/>
    <m/>
    <m/>
    <m/>
  </r>
  <r>
    <s v="SP293"/>
    <x v="2"/>
    <d v="2025-04-18T00:00:00"/>
    <x v="2"/>
    <s v="Your weekend playlist is waiting."/>
    <n v="1265"/>
    <n v="230"/>
    <n v="364"/>
    <n v="41312"/>
    <n v="50382"/>
    <n v="106"/>
    <x v="7"/>
    <x v="1"/>
    <x v="4"/>
    <s v="SummerBeats"/>
    <n v="1859"/>
    <n v="4.4999031758326875E-2"/>
    <m/>
    <m/>
    <m/>
  </r>
  <r>
    <s v="SP294"/>
    <x v="0"/>
    <d v="2024-12-27T00:00:00"/>
    <x v="0"/>
    <s v="From pop to podcasts, its all here."/>
    <n v="1436"/>
    <n v="219"/>
    <n v="229"/>
    <n v="58488"/>
    <n v="24314"/>
    <n v="147"/>
    <x v="1"/>
    <x v="1"/>
    <x v="1"/>
    <s v="IndieWave"/>
    <n v="1884"/>
    <n v="3.221173574066475E-2"/>
    <m/>
    <m/>
    <m/>
  </r>
  <r>
    <s v="SP295"/>
    <x v="0"/>
    <d v="2025-03-08T00:00:00"/>
    <x v="1"/>
    <s v="Top trending tracks updated daily!"/>
    <n v="2244"/>
    <n v="392"/>
    <n v="231"/>
    <n v="25834"/>
    <n v="50906"/>
    <n v="165"/>
    <x v="5"/>
    <x v="3"/>
    <x v="1"/>
    <s v="Wrapped2024"/>
    <n v="2867"/>
    <n v="0.1109777812185492"/>
    <m/>
    <m/>
    <m/>
  </r>
  <r>
    <s v="SP296"/>
    <x v="1"/>
    <d v="2025-03-20T00:00:00"/>
    <x v="1"/>
    <s v="Your weekend playlist is waiting."/>
    <n v="3393"/>
    <n v="104"/>
    <n v="79"/>
    <n v="30025"/>
    <n v="21593"/>
    <n v="165"/>
    <x v="2"/>
    <x v="2"/>
    <x v="0"/>
    <s v="ChillVibes"/>
    <n v="3576"/>
    <n v="0.1191007493755204"/>
    <m/>
    <m/>
    <m/>
  </r>
  <r>
    <s v="SP297"/>
    <x v="1"/>
    <d v="2024-11-16T00:00:00"/>
    <x v="0"/>
    <s v="Explore the latest podcasts now."/>
    <n v="2901"/>
    <n v="108"/>
    <n v="86"/>
    <n v="51777"/>
    <n v="23773"/>
    <n v="160"/>
    <x v="6"/>
    <x v="0"/>
    <x v="1"/>
    <s v="IndieWave"/>
    <n v="3095"/>
    <n v="5.9775576027966085E-2"/>
    <m/>
    <m/>
    <m/>
  </r>
  <r>
    <s v="SP298"/>
    <x v="1"/>
    <d v="2025-06-30T00:00:00"/>
    <x v="0"/>
    <s v="What's your vibe today? #SpotifyHits"/>
    <n v="2275"/>
    <n v="285"/>
    <n v="125"/>
    <n v="43970"/>
    <n v="74761"/>
    <n v="83"/>
    <x v="5"/>
    <x v="3"/>
    <x v="1"/>
    <s v="ChillVibes"/>
    <n v="2685"/>
    <n v="6.1064362065044349E-2"/>
    <m/>
    <m/>
    <m/>
  </r>
  <r>
    <s v="SP299"/>
    <x v="1"/>
    <d v="2024-01-12T00:00:00"/>
    <x v="1"/>
    <s v="Wrapped is here! Relive your top tracks "/>
    <n v="2227"/>
    <n v="494"/>
    <n v="161"/>
    <n v="51651"/>
    <n v="68074"/>
    <n v="240"/>
    <x v="4"/>
    <x v="1"/>
    <x v="3"/>
    <s v="ChillVibes"/>
    <n v="2882"/>
    <n v="5.5797564422760453E-2"/>
    <m/>
    <m/>
    <m/>
  </r>
  <r>
    <s v="SP300"/>
    <x v="0"/>
    <d v="2024-02-07T00:00:00"/>
    <x v="0"/>
    <s v="Music that moves you only on Spotify."/>
    <n v="1883"/>
    <n v="432"/>
    <n v="397"/>
    <n v="28759"/>
    <n v="18691"/>
    <n v="270"/>
    <x v="0"/>
    <x v="0"/>
    <x v="0"/>
    <s v="ChillVibes"/>
    <n v="2712"/>
    <n v="9.4300914496331587E-2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SP001"/>
    <s v="Instagram"/>
    <d v="2025-05-04T00:00:00"/>
    <s v="Text"/>
    <s v="Discover fresh beats on Spotify!"/>
    <n v="2414"/>
    <n v="245"/>
    <n v="137"/>
    <n v="21181"/>
    <n v="45292"/>
    <n v="133"/>
    <s v="#SoundtrackOfLife,#NowPlaying"/>
    <x v="0"/>
    <x v="0"/>
  </r>
  <r>
    <s v="SP002"/>
    <s v="Instagram"/>
    <d v="2025-02-01T00:00:00"/>
    <s v="Text"/>
    <s v="Explore the latest podcasts now."/>
    <n v="1934"/>
    <n v="210"/>
    <n v="393"/>
    <n v="29129"/>
    <n v="73287"/>
    <n v="273"/>
    <s v="#DiscoverWeekly"/>
    <x v="1"/>
    <x v="1"/>
  </r>
  <r>
    <s v="SP003"/>
    <s v="Twitter"/>
    <d v="2024-12-03T00:00:00"/>
    <s v="Story"/>
    <s v="New music just dropped. Hit play!"/>
    <n v="3092"/>
    <n v="177"/>
    <n v="81"/>
    <n v="47533"/>
    <n v="29220"/>
    <n v="121"/>
    <s v="#MusicForEveryone,#NowPlaying"/>
    <x v="2"/>
    <x v="0"/>
  </r>
  <r>
    <s v="SP004"/>
    <s v="Instagram"/>
    <d v="2024-12-03T00:00:00"/>
    <s v="Text"/>
    <s v="Wrapped is here! Relive your top tracks "/>
    <n v="3173"/>
    <n v="229"/>
    <n v="197"/>
    <n v="29604"/>
    <n v="21809"/>
    <n v="272"/>
    <s v="#SoundtrackOfLife,#NowPlaying"/>
    <x v="0"/>
    <x v="0"/>
  </r>
  <r>
    <s v="SP005"/>
    <s v="YouTube"/>
    <d v="2024-04-06T00:00:00"/>
    <s v="Text"/>
    <s v="Music that moves you only on Spotify."/>
    <n v="2748"/>
    <n v="145"/>
    <n v="315"/>
    <n v="24401"/>
    <n v="61182"/>
    <n v="200"/>
    <s v="#DiscoverWeekly,#SpotifyWrapped"/>
    <x v="1"/>
    <x v="2"/>
  </r>
  <r>
    <s v="SP006"/>
    <s v="YouTube"/>
    <d v="2024-06-13T00:00:00"/>
    <s v="Text"/>
    <s v="What's your vibe today? #SpotifyHits"/>
    <n v="3882"/>
    <n v="239"/>
    <n v="275"/>
    <n v="58748"/>
    <n v="44646"/>
    <n v="149"/>
    <s v="#DiscoverWeekly,#SpotifyWrapped"/>
    <x v="1"/>
    <x v="2"/>
  </r>
  <r>
    <s v="SP007"/>
    <s v="Twitter"/>
    <d v="2024-12-19T00:00:00"/>
    <s v="Story"/>
    <s v="Get into the groove with our new drop!"/>
    <n v="4674"/>
    <n v="409"/>
    <n v="327"/>
    <n v="20756"/>
    <n v="63599"/>
    <n v="212"/>
    <s v="#SoundtrackOfLife,#NowPlaying"/>
    <x v="0"/>
    <x v="0"/>
  </r>
  <r>
    <s v="SP008"/>
    <s v="Twitter"/>
    <d v="2024-05-09T00:00:00"/>
    <s v="Story"/>
    <s v="Wrapped is here! Relive your top tracks "/>
    <n v="1428"/>
    <n v="347"/>
    <n v="67"/>
    <n v="21148"/>
    <n v="19712"/>
    <n v="120"/>
    <s v="#DiscoverWeekly,#MusicForEveryone"/>
    <x v="1"/>
    <x v="3"/>
  </r>
  <r>
    <s v="SP009"/>
    <s v="Twitter"/>
    <d v="2025-06-15T00:00:00"/>
    <s v="Text"/>
    <s v="Top trending tracks updated daily!"/>
    <n v="4432"/>
    <n v="223"/>
    <n v="299"/>
    <n v="59016"/>
    <n v="21742"/>
    <n v="171"/>
    <s v="#NowPlaying"/>
    <x v="3"/>
    <x v="1"/>
  </r>
  <r>
    <s v="SP010"/>
    <s v="Twitter"/>
    <d v="2024-12-04T00:00:00"/>
    <s v="Text"/>
    <s v="Wrapped is here! Relive your top tracks "/>
    <n v="2357"/>
    <n v="274"/>
    <n v="172"/>
    <n v="21566"/>
    <n v="66829"/>
    <n v="284"/>
    <s v="#NowPlaying"/>
    <x v="3"/>
    <x v="1"/>
  </r>
  <r>
    <s v="SP011"/>
    <s v="Twitter"/>
    <d v="2024-03-06T00:00:00"/>
    <s v="Text"/>
    <s v="Discover fresh beats on Spotify!"/>
    <n v="1971"/>
    <n v="370"/>
    <n v="306"/>
    <n v="31316"/>
    <n v="27897"/>
    <n v="88"/>
    <s v="#SoundtrackOfLife"/>
    <x v="0"/>
    <x v="1"/>
  </r>
  <r>
    <s v="SP012"/>
    <s v="Instagram"/>
    <d v="2024-05-14T00:00:00"/>
    <s v="Text"/>
    <s v="Discover fresh beats on Spotify!"/>
    <n v="1485"/>
    <n v="353"/>
    <n v="244"/>
    <n v="38419"/>
    <n v="38556"/>
    <n v="86"/>
    <s v="#SoundtrackOfLife,#NowPlaying"/>
    <x v="0"/>
    <x v="0"/>
  </r>
  <r>
    <s v="SP013"/>
    <s v="Twitter"/>
    <d v="2025-06-18T00:00:00"/>
    <s v="Story"/>
    <s v="Discover fresh beats on Spotify!"/>
    <n v="3956"/>
    <n v="319"/>
    <n v="61"/>
    <n v="58162"/>
    <n v="28720"/>
    <n v="213"/>
    <s v="#MusicForEveryone,#NowPlaying"/>
    <x v="2"/>
    <x v="0"/>
  </r>
  <r>
    <s v="SP014"/>
    <s v="Twitter"/>
    <d v="2024-10-08T00:00:00"/>
    <s v="Text"/>
    <s v="From pop to podcasts, its all here."/>
    <n v="2460"/>
    <n v="409"/>
    <n v="253"/>
    <n v="36702"/>
    <n v="46122"/>
    <n v="264"/>
    <s v="#NowPlaying"/>
    <x v="3"/>
    <x v="1"/>
  </r>
  <r>
    <s v="SP015"/>
    <s v="Twitter"/>
    <d v="2024-05-06T00:00:00"/>
    <s v="Text"/>
    <s v="Your weekend playlist is waiting."/>
    <n v="3476"/>
    <n v="355"/>
    <n v="396"/>
    <n v="37492"/>
    <n v="27285"/>
    <n v="179"/>
    <s v="#NowPlaying"/>
    <x v="3"/>
    <x v="1"/>
  </r>
  <r>
    <s v="SP016"/>
    <s v="Twitter"/>
    <d v="2024-12-29T00:00:00"/>
    <s v="Story"/>
    <s v="New music just dropped. Hit play!"/>
    <n v="4049"/>
    <n v="377"/>
    <n v="94"/>
    <n v="48182"/>
    <n v="42875"/>
    <n v="172"/>
    <s v="#MusicForEveryone,#NowPlaying"/>
    <x v="2"/>
    <x v="0"/>
  </r>
  <r>
    <s v="SP017"/>
    <s v="Twitter"/>
    <d v="2024-06-10T00:00:00"/>
    <s v="Text"/>
    <s v="What's your vibe today? #SpotifyHits"/>
    <n v="1514"/>
    <n v="164"/>
    <n v="275"/>
    <n v="41364"/>
    <n v="44389"/>
    <n v="83"/>
    <s v="#NowPlaying"/>
    <x v="3"/>
    <x v="1"/>
  </r>
  <r>
    <s v="SP018"/>
    <s v="Instagram"/>
    <d v="2024-02-03T00:00:00"/>
    <s v="Story"/>
    <s v="Music that moves you only on Spotify."/>
    <n v="4281"/>
    <n v="101"/>
    <n v="163"/>
    <n v="32278"/>
    <n v="53382"/>
    <n v="235"/>
    <s v="#NowPlaying"/>
    <x v="3"/>
    <x v="1"/>
  </r>
  <r>
    <s v="SP019"/>
    <s v="YouTube"/>
    <d v="2024-06-15T00:00:00"/>
    <s v="Reel"/>
    <s v="Get into the groove with our new drop!"/>
    <n v="1751"/>
    <n v="143"/>
    <n v="151"/>
    <n v="31826"/>
    <n v="47729"/>
    <n v="95"/>
    <s v="#DiscoverWeekly,#SoundtrackOfLife"/>
    <x v="1"/>
    <x v="4"/>
  </r>
  <r>
    <s v="SP020"/>
    <s v="Instagram"/>
    <d v="2024-07-05T00:00:00"/>
    <s v="Text"/>
    <s v="Your weekend playlist is waiting."/>
    <n v="3753"/>
    <n v="411"/>
    <n v="308"/>
    <n v="29138"/>
    <n v="27678"/>
    <n v="90"/>
    <s v="#DiscoverWeekly"/>
    <x v="1"/>
    <x v="1"/>
  </r>
  <r>
    <s v="SP021"/>
    <s v="Instagram"/>
    <d v="2024-11-07T00:00:00"/>
    <s v="Story"/>
    <s v="Wrapped is here! Relive your top tracks "/>
    <n v="1678"/>
    <n v="423"/>
    <n v="323"/>
    <n v="55668"/>
    <n v="37945"/>
    <n v="230"/>
    <s v="#NowPlaying"/>
    <x v="3"/>
    <x v="1"/>
  </r>
  <r>
    <s v="SP022"/>
    <s v="Instagram"/>
    <d v="2025-06-15T00:00:00"/>
    <s v="Text"/>
    <s v="What's your vibe today? #SpotifyHits"/>
    <n v="4896"/>
    <n v="466"/>
    <n v="233"/>
    <n v="28621"/>
    <n v="34270"/>
    <n v="84"/>
    <s v="#SoundtrackOfLife,#NowPlaying"/>
    <x v="0"/>
    <x v="0"/>
  </r>
  <r>
    <s v="SP023"/>
    <s v="YouTube"/>
    <d v="2024-06-09T00:00:00"/>
    <s v="Reel"/>
    <s v="From pop to podcasts, its all here."/>
    <n v="2786"/>
    <n v="368"/>
    <n v="208"/>
    <n v="42000"/>
    <n v="39967"/>
    <n v="103"/>
    <s v="#DiscoverWeekly,#SoundtrackOfLife"/>
    <x v="1"/>
    <x v="4"/>
  </r>
  <r>
    <s v="SP024"/>
    <s v="Twitter"/>
    <d v="2024-10-18T00:00:00"/>
    <s v="Text"/>
    <s v="New music just dropped. Hit play!"/>
    <n v="2607"/>
    <n v="379"/>
    <n v="180"/>
    <n v="28712"/>
    <n v="61620"/>
    <n v="174"/>
    <s v="#SoundtrackOfLife"/>
    <x v="0"/>
    <x v="1"/>
  </r>
  <r>
    <s v="SP025"/>
    <s v="YouTube"/>
    <d v="2024-10-10T00:00:00"/>
    <s v="Reel"/>
    <s v="From pop to podcasts, its all here."/>
    <n v="4013"/>
    <n v="320"/>
    <n v="92"/>
    <n v="54605"/>
    <n v="60169"/>
    <n v="232"/>
    <s v="#DiscoverWeekly,#SoundtrackOfLife"/>
    <x v="1"/>
    <x v="4"/>
  </r>
  <r>
    <s v="SP026"/>
    <s v="Twitter"/>
    <d v="2025-05-14T00:00:00"/>
    <s v="Story"/>
    <s v="From pop to podcasts, its all here."/>
    <n v="2707"/>
    <n v="103"/>
    <n v="51"/>
    <n v="55302"/>
    <n v="18801"/>
    <n v="147"/>
    <s v="#DiscoverWeekly,#MusicForEveryone"/>
    <x v="1"/>
    <x v="3"/>
  </r>
  <r>
    <s v="SP027"/>
    <s v="Instagram"/>
    <d v="2024-11-29T00:00:00"/>
    <s v="Text"/>
    <s v="What's your vibe today? #SpotifyHits"/>
    <n v="2824"/>
    <n v="425"/>
    <n v="274"/>
    <n v="31004"/>
    <n v="53488"/>
    <n v="268"/>
    <s v="#SoundtrackOfLife,#NowPlaying"/>
    <x v="0"/>
    <x v="0"/>
  </r>
  <r>
    <s v="SP028"/>
    <s v="YouTube"/>
    <d v="2024-03-05T00:00:00"/>
    <s v="Reel"/>
    <s v="Explore the latest podcasts now."/>
    <n v="3558"/>
    <n v="314"/>
    <n v="199"/>
    <n v="49612"/>
    <n v="53929"/>
    <n v="206"/>
    <s v="#DiscoverWeekly,#SoundtrackOfLife"/>
    <x v="1"/>
    <x v="4"/>
  </r>
  <r>
    <s v="SP029"/>
    <s v="Twitter"/>
    <d v="2025-03-18T00:00:00"/>
    <s v="Story"/>
    <s v="Explore the latest podcasts now."/>
    <n v="3418"/>
    <n v="188"/>
    <n v="387"/>
    <n v="57431"/>
    <n v="36933"/>
    <n v="202"/>
    <s v="#MusicForEveryone,#NowPlaying"/>
    <x v="2"/>
    <x v="0"/>
  </r>
  <r>
    <s v="SP030"/>
    <s v="Twitter"/>
    <d v="2025-04-26T00:00:00"/>
    <s v="Text"/>
    <s v="Discover fresh beats on Spotify!"/>
    <n v="2411"/>
    <n v="194"/>
    <n v="168"/>
    <n v="26665"/>
    <n v="71699"/>
    <n v="197"/>
    <s v="#NowPlaying"/>
    <x v="3"/>
    <x v="1"/>
  </r>
  <r>
    <s v="SP031"/>
    <s v="Instagram"/>
    <d v="2025-01-01T00:00:00"/>
    <s v="Text"/>
    <s v="New music just dropped. Hit play!"/>
    <n v="4036"/>
    <n v="112"/>
    <n v="382"/>
    <n v="56284"/>
    <n v="29440"/>
    <n v="279"/>
    <s v="#SoundtrackOfLife,#NowPlaying"/>
    <x v="0"/>
    <x v="0"/>
  </r>
  <r>
    <s v="SP032"/>
    <s v="Twitter"/>
    <d v="2024-05-07T00:00:00"/>
    <s v="Story"/>
    <s v="Explore the latest podcasts now."/>
    <n v="2776"/>
    <n v="307"/>
    <n v="178"/>
    <n v="43365"/>
    <n v="48408"/>
    <n v="138"/>
    <s v="#SoundtrackOfLife,#NowPlaying"/>
    <x v="0"/>
    <x v="0"/>
  </r>
  <r>
    <s v="SP033"/>
    <s v="Twitter"/>
    <d v="2024-10-09T00:00:00"/>
    <s v="Story"/>
    <s v="Discover fresh beats on Spotify!"/>
    <n v="4929"/>
    <n v="182"/>
    <n v="95"/>
    <n v="32181"/>
    <n v="31084"/>
    <n v="289"/>
    <s v="#DiscoverWeekly,#MusicForEveryone"/>
    <x v="1"/>
    <x v="3"/>
  </r>
  <r>
    <s v="SP034"/>
    <s v="Instagram"/>
    <d v="2025-01-09T00:00:00"/>
    <s v="Text"/>
    <s v="New music just dropped. Hit play!"/>
    <n v="1015"/>
    <n v="366"/>
    <n v="308"/>
    <n v="38127"/>
    <n v="63790"/>
    <n v="287"/>
    <s v="#SoundtrackOfLife,#NowPlaying"/>
    <x v="0"/>
    <x v="0"/>
  </r>
  <r>
    <s v="SP035"/>
    <s v="Twitter"/>
    <d v="2025-05-08T00:00:00"/>
    <s v="Story"/>
    <s v="Your weekend playlist is waiting."/>
    <n v="3316"/>
    <n v="332"/>
    <n v="268"/>
    <n v="40095"/>
    <n v="36913"/>
    <n v="265"/>
    <s v="#MusicForEveryone,#NowPlaying"/>
    <x v="2"/>
    <x v="0"/>
  </r>
  <r>
    <s v="SP036"/>
    <s v="Instagram"/>
    <d v="2024-05-04T00:00:00"/>
    <s v="Text"/>
    <s v="Wrapped is here! Relive your top tracks "/>
    <n v="2274"/>
    <n v="243"/>
    <n v="222"/>
    <n v="43066"/>
    <n v="59174"/>
    <n v="80"/>
    <s v="#DiscoverWeekly"/>
    <x v="1"/>
    <x v="1"/>
  </r>
  <r>
    <s v="SP037"/>
    <s v="Twitter"/>
    <d v="2025-05-27T00:00:00"/>
    <s v="Story"/>
    <s v="Explore the latest podcasts now."/>
    <n v="4095"/>
    <n v="385"/>
    <n v="400"/>
    <n v="45300"/>
    <n v="31795"/>
    <n v="80"/>
    <s v="#MusicForEveryone,#NowPlaying"/>
    <x v="2"/>
    <x v="0"/>
  </r>
  <r>
    <s v="SP038"/>
    <s v="Instagram"/>
    <d v="2024-09-10T00:00:00"/>
    <s v="Story"/>
    <s v="New music just dropped. Hit play!"/>
    <n v="1230"/>
    <n v="309"/>
    <n v="207"/>
    <n v="44629"/>
    <n v="40699"/>
    <n v="195"/>
    <s v="#NowPlaying"/>
    <x v="3"/>
    <x v="1"/>
  </r>
  <r>
    <s v="SP039"/>
    <s v="Instagram"/>
    <d v="2024-11-25T00:00:00"/>
    <s v="Text"/>
    <s v="From pop to podcasts, its all here."/>
    <n v="1341"/>
    <n v="472"/>
    <n v="238"/>
    <n v="51386"/>
    <n v="51706"/>
    <n v="133"/>
    <s v="#DiscoverWeekly"/>
    <x v="1"/>
    <x v="1"/>
  </r>
  <r>
    <s v="SP040"/>
    <s v="Twitter"/>
    <d v="2025-06-10T00:00:00"/>
    <s v="Text"/>
    <s v="Explore the latest podcasts now."/>
    <n v="3615"/>
    <n v="192"/>
    <n v="162"/>
    <n v="27492"/>
    <n v="35341"/>
    <n v="125"/>
    <s v="#NowPlaying"/>
    <x v="3"/>
    <x v="1"/>
  </r>
  <r>
    <s v="SP041"/>
    <s v="Instagram"/>
    <d v="2024-04-19T00:00:00"/>
    <s v="Text"/>
    <s v="New music just dropped. Hit play!"/>
    <n v="4001"/>
    <n v="353"/>
    <n v="129"/>
    <n v="41265"/>
    <n v="37279"/>
    <n v="275"/>
    <s v="#SoundtrackOfLife,#NowPlaying"/>
    <x v="0"/>
    <x v="0"/>
  </r>
  <r>
    <s v="SP042"/>
    <s v="Instagram"/>
    <d v="2025-01-26T00:00:00"/>
    <s v="Story"/>
    <s v="What's your vibe today? #SpotifyHits"/>
    <n v="3451"/>
    <n v="363"/>
    <n v="393"/>
    <n v="44853"/>
    <n v="69032"/>
    <n v="211"/>
    <s v="#NowPlaying"/>
    <x v="3"/>
    <x v="1"/>
  </r>
  <r>
    <s v="SP043"/>
    <s v="Instagram"/>
    <d v="2025-02-14T00:00:00"/>
    <s v="Text"/>
    <s v="Top trending tracks updated daily!"/>
    <n v="4891"/>
    <n v="450"/>
    <n v="387"/>
    <n v="48746"/>
    <n v="37312"/>
    <n v="154"/>
    <s v="#SoundtrackOfLife,#NowPlaying"/>
    <x v="0"/>
    <x v="0"/>
  </r>
  <r>
    <s v="SP044"/>
    <s v="Instagram"/>
    <d v="2024-09-06T00:00:00"/>
    <s v="Text"/>
    <s v="New music just dropped. Hit play!"/>
    <n v="1452"/>
    <n v="281"/>
    <n v="326"/>
    <n v="51556"/>
    <n v="62599"/>
    <n v="290"/>
    <s v="#DiscoverWeekly"/>
    <x v="1"/>
    <x v="1"/>
  </r>
  <r>
    <s v="SP045"/>
    <s v="YouTube"/>
    <d v="2024-07-14T00:00:00"/>
    <s v="Text"/>
    <s v="Your weekend playlist is waiting."/>
    <n v="3806"/>
    <n v="114"/>
    <n v="278"/>
    <n v="36148"/>
    <n v="24209"/>
    <n v="201"/>
    <s v="#DiscoverWeekly,#SpotifyWrapped"/>
    <x v="1"/>
    <x v="2"/>
  </r>
  <r>
    <s v="SP046"/>
    <s v="Instagram"/>
    <d v="2024-02-12T00:00:00"/>
    <s v="Text"/>
    <s v="Explore the latest podcasts now."/>
    <n v="2923"/>
    <n v="330"/>
    <n v="250"/>
    <n v="23993"/>
    <n v="74590"/>
    <n v="92"/>
    <s v="#DiscoverWeekly"/>
    <x v="1"/>
    <x v="1"/>
  </r>
  <r>
    <s v="SP047"/>
    <s v="YouTube"/>
    <d v="2024-03-14T00:00:00"/>
    <s v="Reel"/>
    <s v="From pop to podcasts, its all here."/>
    <n v="3361"/>
    <n v="188"/>
    <n v="358"/>
    <n v="39838"/>
    <n v="24536"/>
    <n v="120"/>
    <s v="#DiscoverWeekly,#SoundtrackOfLife"/>
    <x v="1"/>
    <x v="4"/>
  </r>
  <r>
    <s v="SP048"/>
    <s v="Instagram"/>
    <d v="2025-02-05T00:00:00"/>
    <s v="Story"/>
    <s v="Music that moves you only on Spotify."/>
    <n v="3074"/>
    <n v="371"/>
    <n v="348"/>
    <n v="24104"/>
    <n v="57803"/>
    <n v="213"/>
    <s v="#NowPlaying"/>
    <x v="3"/>
    <x v="1"/>
  </r>
  <r>
    <s v="SP049"/>
    <s v="Twitter"/>
    <d v="2024-08-29T00:00:00"/>
    <s v="Story"/>
    <s v="Get into the groove with our new drop!"/>
    <n v="4276"/>
    <n v="227"/>
    <n v="223"/>
    <n v="43443"/>
    <n v="41005"/>
    <n v="191"/>
    <s v="#DiscoverWeekly,#MusicForEveryone"/>
    <x v="1"/>
    <x v="3"/>
  </r>
  <r>
    <s v="SP050"/>
    <s v="Twitter"/>
    <d v="2025-04-22T00:00:00"/>
    <s v="Text"/>
    <s v="Discover fresh beats on Spotify!"/>
    <n v="4401"/>
    <n v="421"/>
    <n v="216"/>
    <n v="24890"/>
    <n v="54361"/>
    <n v="148"/>
    <s v="#NowPlaying"/>
    <x v="3"/>
    <x v="1"/>
  </r>
  <r>
    <s v="SP051"/>
    <s v="YouTube"/>
    <d v="2024-05-13T00:00:00"/>
    <s v="Reel"/>
    <s v="Explore the latest podcasts now."/>
    <n v="4161"/>
    <n v="481"/>
    <n v="61"/>
    <n v="45884"/>
    <n v="48955"/>
    <n v="215"/>
    <s v="#DiscoverWeekly,#SoundtrackOfLife"/>
    <x v="1"/>
    <x v="4"/>
  </r>
  <r>
    <s v="SP052"/>
    <s v="Twitter"/>
    <d v="2024-09-04T00:00:00"/>
    <s v="Story"/>
    <s v="New music just dropped. Hit play!"/>
    <n v="2613"/>
    <n v="455"/>
    <n v="228"/>
    <n v="21645"/>
    <n v="61334"/>
    <n v="261"/>
    <s v="#DiscoverWeekly,#MusicForEveryone"/>
    <x v="1"/>
    <x v="3"/>
  </r>
  <r>
    <s v="SP053"/>
    <s v="Twitter"/>
    <d v="2024-08-12T00:00:00"/>
    <s v="Story"/>
    <s v="What's your vibe today? #SpotifyHits"/>
    <n v="2842"/>
    <n v="213"/>
    <n v="331"/>
    <n v="57660"/>
    <n v="68606"/>
    <n v="87"/>
    <s v="#MusicForEveryone,#NowPlaying"/>
    <x v="2"/>
    <x v="0"/>
  </r>
  <r>
    <s v="SP054"/>
    <s v="Instagram"/>
    <d v="2025-03-06T00:00:00"/>
    <s v="Text"/>
    <s v="Get into the groove with our new drop!"/>
    <n v="4851"/>
    <n v="460"/>
    <n v="212"/>
    <n v="58075"/>
    <n v="59574"/>
    <n v="239"/>
    <s v="#DiscoverWeekly"/>
    <x v="1"/>
    <x v="1"/>
  </r>
  <r>
    <s v="SP055"/>
    <s v="Twitter"/>
    <d v="2024-05-08T00:00:00"/>
    <s v="Text"/>
    <s v="Explore the latest podcasts now."/>
    <n v="1828"/>
    <n v="450"/>
    <n v="214"/>
    <n v="52115"/>
    <n v="19166"/>
    <n v="190"/>
    <s v="#NowPlaying"/>
    <x v="3"/>
    <x v="1"/>
  </r>
  <r>
    <s v="SP056"/>
    <s v="Instagram"/>
    <d v="2025-02-19T00:00:00"/>
    <s v="Story"/>
    <s v="From pop to podcasts, its all here."/>
    <n v="2422"/>
    <n v="455"/>
    <n v="376"/>
    <n v="23428"/>
    <n v="46775"/>
    <n v="259"/>
    <s v="#NowPlaying"/>
    <x v="3"/>
    <x v="1"/>
  </r>
  <r>
    <s v="SP057"/>
    <s v="Instagram"/>
    <d v="2024-01-08T00:00:00"/>
    <s v="Text"/>
    <s v="Top trending tracks updated daily!"/>
    <n v="2683"/>
    <n v="405"/>
    <n v="223"/>
    <n v="31233"/>
    <n v="58106"/>
    <n v="291"/>
    <s v="#DiscoverWeekly"/>
    <x v="1"/>
    <x v="1"/>
  </r>
  <r>
    <s v="SP058"/>
    <s v="YouTube"/>
    <d v="2024-07-17T00:00:00"/>
    <s v="Text"/>
    <s v="Top trending tracks updated daily!"/>
    <n v="3135"/>
    <n v="110"/>
    <n v="215"/>
    <n v="39192"/>
    <n v="24744"/>
    <n v="177"/>
    <s v="#DiscoverWeekly,#SpotifyWrapped"/>
    <x v="1"/>
    <x v="2"/>
  </r>
  <r>
    <s v="SP059"/>
    <s v="YouTube"/>
    <d v="2024-08-10T00:00:00"/>
    <s v="Text"/>
    <s v="From pop to podcasts, its all here."/>
    <n v="1105"/>
    <n v="181"/>
    <n v="55"/>
    <n v="53581"/>
    <n v="74048"/>
    <n v="220"/>
    <s v="#DiscoverWeekly,#SpotifyWrapped"/>
    <x v="1"/>
    <x v="2"/>
  </r>
  <r>
    <s v="SP060"/>
    <s v="YouTube"/>
    <d v="2024-04-16T00:00:00"/>
    <s v="Text"/>
    <s v="Discover fresh beats on Spotify!"/>
    <n v="4674"/>
    <n v="326"/>
    <n v="62"/>
    <n v="45503"/>
    <n v="46814"/>
    <n v="116"/>
    <s v="#DiscoverWeekly,#SpotifyWrapped"/>
    <x v="1"/>
    <x v="2"/>
  </r>
  <r>
    <s v="SP061"/>
    <s v="YouTube"/>
    <d v="2024-01-01T00:00:00"/>
    <s v="Reel"/>
    <s v="Explore the latest podcasts now."/>
    <n v="3437"/>
    <n v="129"/>
    <n v="359"/>
    <n v="44558"/>
    <n v="30854"/>
    <n v="171"/>
    <s v="#DiscoverWeekly,#SoundtrackOfLife"/>
    <x v="1"/>
    <x v="4"/>
  </r>
  <r>
    <s v="SP062"/>
    <s v="Twitter"/>
    <d v="2024-11-03T00:00:00"/>
    <s v="Story"/>
    <s v="Wrapped is here! Relive your top tracks "/>
    <n v="1959"/>
    <n v="316"/>
    <n v="82"/>
    <n v="54036"/>
    <n v="69015"/>
    <n v="182"/>
    <s v="#MusicForEveryone,#NowPlaying"/>
    <x v="2"/>
    <x v="0"/>
  </r>
  <r>
    <s v="SP063"/>
    <s v="Twitter"/>
    <d v="2024-07-07T00:00:00"/>
    <s v="Text"/>
    <s v="New music just dropped. Hit play!"/>
    <n v="1035"/>
    <n v="137"/>
    <n v="184"/>
    <n v="37302"/>
    <n v="68953"/>
    <n v="237"/>
    <s v="#SoundtrackOfLife"/>
    <x v="0"/>
    <x v="1"/>
  </r>
  <r>
    <s v="SP064"/>
    <s v="Twitter"/>
    <d v="2025-01-22T00:00:00"/>
    <s v="Story"/>
    <s v="New music just dropped. Hit play!"/>
    <n v="4478"/>
    <n v="101"/>
    <n v="121"/>
    <n v="51035"/>
    <n v="58207"/>
    <n v="205"/>
    <s v="#MusicForEveryone,#NowPlaying"/>
    <x v="2"/>
    <x v="0"/>
  </r>
  <r>
    <s v="SP065"/>
    <s v="YouTube"/>
    <d v="2024-05-26T00:00:00"/>
    <s v="Text"/>
    <s v="From pop to podcasts, its all here."/>
    <n v="1488"/>
    <n v="327"/>
    <n v="110"/>
    <n v="53805"/>
    <n v="30239"/>
    <n v="109"/>
    <s v="#DiscoverWeekly,#SpotifyWrapped"/>
    <x v="1"/>
    <x v="2"/>
  </r>
  <r>
    <s v="SP066"/>
    <s v="Instagram"/>
    <d v="2025-04-16T00:00:00"/>
    <s v="Text"/>
    <s v="Wrapped is here! Relive your top tracks "/>
    <n v="4836"/>
    <n v="331"/>
    <n v="140"/>
    <n v="58792"/>
    <n v="47711"/>
    <n v="227"/>
    <s v="#SoundtrackOfLife,#NowPlaying"/>
    <x v="0"/>
    <x v="0"/>
  </r>
  <r>
    <s v="SP067"/>
    <s v="YouTube"/>
    <d v="2024-04-02T00:00:00"/>
    <s v="Reel"/>
    <s v="Your weekend playlist is waiting."/>
    <n v="4563"/>
    <n v="488"/>
    <n v="356"/>
    <n v="30619"/>
    <n v="23328"/>
    <n v="267"/>
    <s v="#DiscoverWeekly,#SoundtrackOfLife"/>
    <x v="1"/>
    <x v="4"/>
  </r>
  <r>
    <s v="SP068"/>
    <s v="Twitter"/>
    <d v="2024-03-28T00:00:00"/>
    <s v="Text"/>
    <s v="Music that moves you only on Spotify."/>
    <n v="3276"/>
    <n v="421"/>
    <n v="114"/>
    <n v="20580"/>
    <n v="30324"/>
    <n v="221"/>
    <s v="#SoundtrackOfLife"/>
    <x v="0"/>
    <x v="1"/>
  </r>
  <r>
    <s v="SP069"/>
    <s v="Twitter"/>
    <d v="2024-12-17T00:00:00"/>
    <s v="Story"/>
    <s v="Music that moves you only on Spotify."/>
    <n v="1316"/>
    <n v="472"/>
    <n v="286"/>
    <n v="44692"/>
    <n v="53343"/>
    <n v="227"/>
    <s v="#DiscoverWeekly,#MusicForEveryone"/>
    <x v="1"/>
    <x v="3"/>
  </r>
  <r>
    <s v="SP070"/>
    <s v="Twitter"/>
    <d v="2025-01-05T00:00:00"/>
    <s v="Text"/>
    <s v="Wrapped is here! Relive your top tracks "/>
    <n v="4811"/>
    <n v="473"/>
    <n v="254"/>
    <n v="51964"/>
    <n v="68795"/>
    <n v="107"/>
    <s v="#NowPlaying"/>
    <x v="3"/>
    <x v="1"/>
  </r>
  <r>
    <s v="SP071"/>
    <s v="Twitter"/>
    <d v="2024-01-11T00:00:00"/>
    <s v="Text"/>
    <s v="What's your vibe today? #SpotifyHits"/>
    <n v="4218"/>
    <n v="247"/>
    <n v="183"/>
    <n v="28914"/>
    <n v="18310"/>
    <n v="135"/>
    <s v="#SoundtrackOfLife"/>
    <x v="0"/>
    <x v="1"/>
  </r>
  <r>
    <s v="SP072"/>
    <s v="Instagram"/>
    <d v="2024-10-11T00:00:00"/>
    <s v="Text"/>
    <s v="From pop to podcasts, its all here."/>
    <n v="1360"/>
    <n v="249"/>
    <n v="52"/>
    <n v="20368"/>
    <n v="42152"/>
    <n v="193"/>
    <s v="#DiscoverWeekly"/>
    <x v="1"/>
    <x v="1"/>
  </r>
  <r>
    <s v="SP073"/>
    <s v="YouTube"/>
    <d v="2025-05-06T00:00:00"/>
    <s v="Reel"/>
    <s v="Discover fresh beats on Spotify!"/>
    <n v="1085"/>
    <n v="496"/>
    <n v="320"/>
    <n v="36528"/>
    <n v="38599"/>
    <n v="270"/>
    <s v="#DiscoverWeekly,#SoundtrackOfLife"/>
    <x v="1"/>
    <x v="4"/>
  </r>
  <r>
    <s v="SP074"/>
    <s v="Twitter"/>
    <d v="2024-05-19T00:00:00"/>
    <s v="Story"/>
    <s v="Get into the groove with our new drop!"/>
    <n v="1763"/>
    <n v="206"/>
    <n v="187"/>
    <n v="53342"/>
    <n v="25095"/>
    <n v="88"/>
    <s v="#DiscoverWeekly,#MusicForEveryone"/>
    <x v="1"/>
    <x v="3"/>
  </r>
  <r>
    <s v="SP075"/>
    <s v="Twitter"/>
    <d v="2024-01-22T00:00:00"/>
    <s v="Story"/>
    <s v="From pop to podcasts, its all here."/>
    <n v="1554"/>
    <n v="455"/>
    <n v="158"/>
    <n v="41947"/>
    <n v="48578"/>
    <n v="101"/>
    <s v="#SoundtrackOfLife,#NowPlaying"/>
    <x v="0"/>
    <x v="0"/>
  </r>
  <r>
    <s v="SP076"/>
    <s v="Instagram"/>
    <d v="2024-07-14T00:00:00"/>
    <s v="Text"/>
    <s v="Wrapped is here! Relive your top tracks "/>
    <n v="2464"/>
    <n v="401"/>
    <n v="78"/>
    <n v="38665"/>
    <n v="73593"/>
    <n v="207"/>
    <s v="#DiscoverWeekly"/>
    <x v="1"/>
    <x v="1"/>
  </r>
  <r>
    <s v="SP077"/>
    <s v="Twitter"/>
    <d v="2025-05-28T00:00:00"/>
    <s v="Text"/>
    <s v="From pop to podcasts, its all here."/>
    <n v="2418"/>
    <n v="161"/>
    <n v="360"/>
    <n v="30589"/>
    <n v="41383"/>
    <n v="88"/>
    <s v="#NowPlaying"/>
    <x v="3"/>
    <x v="1"/>
  </r>
  <r>
    <s v="SP078"/>
    <s v="Twitter"/>
    <d v="2025-01-21T00:00:00"/>
    <s v="Story"/>
    <s v="Discover fresh beats on Spotify!"/>
    <n v="2494"/>
    <n v="494"/>
    <n v="55"/>
    <n v="22580"/>
    <n v="22214"/>
    <n v="109"/>
    <s v="#MusicForEveryone,#NowPlaying"/>
    <x v="2"/>
    <x v="0"/>
  </r>
  <r>
    <s v="SP079"/>
    <s v="YouTube"/>
    <d v="2024-01-13T00:00:00"/>
    <s v="Reel"/>
    <s v="New music just dropped. Hit play!"/>
    <n v="4781"/>
    <n v="191"/>
    <n v="122"/>
    <n v="35535"/>
    <n v="50777"/>
    <n v="128"/>
    <s v="#DiscoverWeekly,#SoundtrackOfLife"/>
    <x v="1"/>
    <x v="4"/>
  </r>
  <r>
    <s v="SP080"/>
    <s v="Instagram"/>
    <d v="2025-06-17T00:00:00"/>
    <s v="Text"/>
    <s v="Music that moves you only on Spotify."/>
    <n v="2284"/>
    <n v="187"/>
    <n v="260"/>
    <n v="37400"/>
    <n v="65014"/>
    <n v="157"/>
    <s v="#SoundtrackOfLife,#NowPlaying"/>
    <x v="0"/>
    <x v="0"/>
  </r>
  <r>
    <s v="SP081"/>
    <s v="Twitter"/>
    <d v="2025-03-07T00:00:00"/>
    <s v="Text"/>
    <s v="Get into the groove with our new drop!"/>
    <n v="4234"/>
    <n v="486"/>
    <n v="276"/>
    <n v="56623"/>
    <n v="41343"/>
    <n v="184"/>
    <s v="#SoundtrackOfLife"/>
    <x v="0"/>
    <x v="1"/>
  </r>
  <r>
    <s v="SP082"/>
    <s v="Instagram"/>
    <d v="2024-08-26T00:00:00"/>
    <s v="Text"/>
    <s v="Your weekend playlist is waiting."/>
    <n v="2102"/>
    <n v="181"/>
    <n v="306"/>
    <n v="43650"/>
    <n v="50079"/>
    <n v="182"/>
    <s v="#DiscoverWeekly"/>
    <x v="1"/>
    <x v="1"/>
  </r>
  <r>
    <s v="SP083"/>
    <s v="Twitter"/>
    <d v="2025-01-03T00:00:00"/>
    <s v="Story"/>
    <s v="Get into the groove with our new drop!"/>
    <n v="4845"/>
    <n v="158"/>
    <n v="84"/>
    <n v="34578"/>
    <n v="51480"/>
    <n v="180"/>
    <s v="#SoundtrackOfLife,#NowPlaying"/>
    <x v="0"/>
    <x v="0"/>
  </r>
  <r>
    <s v="SP084"/>
    <s v="Twitter"/>
    <d v="2024-08-03T00:00:00"/>
    <s v="Text"/>
    <s v="Your weekend playlist is waiting."/>
    <n v="4247"/>
    <n v="390"/>
    <n v="213"/>
    <n v="29785"/>
    <n v="57768"/>
    <n v="122"/>
    <s v="#NowPlaying"/>
    <x v="3"/>
    <x v="1"/>
  </r>
  <r>
    <s v="SP085"/>
    <s v="Instagram"/>
    <d v="2024-08-18T00:00:00"/>
    <s v="Text"/>
    <s v="Explore the latest podcasts now."/>
    <n v="2965"/>
    <n v="328"/>
    <n v="171"/>
    <n v="57685"/>
    <n v="67536"/>
    <n v="264"/>
    <s v="#SoundtrackOfLife,#NowPlaying"/>
    <x v="0"/>
    <x v="0"/>
  </r>
  <r>
    <s v="SP086"/>
    <s v="Twitter"/>
    <d v="2025-05-14T00:00:00"/>
    <s v="Story"/>
    <s v="Wrapped is here! Relive your top tracks "/>
    <n v="1371"/>
    <n v="139"/>
    <n v="96"/>
    <n v="36140"/>
    <n v="39395"/>
    <n v="169"/>
    <s v="#SoundtrackOfLife,#NowPlaying"/>
    <x v="0"/>
    <x v="0"/>
  </r>
  <r>
    <s v="SP087"/>
    <s v="Twitter"/>
    <d v="2024-04-23T00:00:00"/>
    <s v="Story"/>
    <s v="Discover fresh beats on Spotify!"/>
    <n v="2683"/>
    <n v="496"/>
    <n v="89"/>
    <n v="53435"/>
    <n v="30334"/>
    <n v="160"/>
    <s v="#SoundtrackOfLife,#NowPlaying"/>
    <x v="0"/>
    <x v="0"/>
  </r>
  <r>
    <s v="SP088"/>
    <s v="Twitter"/>
    <d v="2025-02-17T00:00:00"/>
    <s v="Story"/>
    <s v="What's your vibe today? #SpotifyHits"/>
    <n v="4796"/>
    <n v="427"/>
    <n v="339"/>
    <n v="30752"/>
    <n v="33870"/>
    <n v="298"/>
    <s v="#SoundtrackOfLife,#NowPlaying"/>
    <x v="0"/>
    <x v="0"/>
  </r>
  <r>
    <s v="SP089"/>
    <s v="Instagram"/>
    <d v="2024-12-04T00:00:00"/>
    <s v="Text"/>
    <s v="Wrapped is here! Relive your top tracks "/>
    <n v="2601"/>
    <n v="336"/>
    <n v="260"/>
    <n v="32368"/>
    <n v="49028"/>
    <n v="120"/>
    <s v="#SoundtrackOfLife,#NowPlaying"/>
    <x v="0"/>
    <x v="0"/>
  </r>
  <r>
    <s v="SP090"/>
    <s v="Twitter"/>
    <d v="2024-07-22T00:00:00"/>
    <s v="Story"/>
    <s v="Wrapped is here! Relive your top tracks "/>
    <n v="3336"/>
    <n v="229"/>
    <n v="337"/>
    <n v="22117"/>
    <n v="26205"/>
    <n v="160"/>
    <s v="#MusicForEveryone,#NowPlaying"/>
    <x v="2"/>
    <x v="0"/>
  </r>
  <r>
    <s v="SP091"/>
    <s v="Twitter"/>
    <d v="2025-04-27T00:00:00"/>
    <s v="Text"/>
    <s v="Explore the latest podcasts now."/>
    <n v="1165"/>
    <n v="294"/>
    <n v="163"/>
    <n v="20659"/>
    <n v="45926"/>
    <n v="111"/>
    <s v="#SoundtrackOfLife"/>
    <x v="0"/>
    <x v="1"/>
  </r>
  <r>
    <s v="SP092"/>
    <s v="YouTube"/>
    <d v="2024-03-25T00:00:00"/>
    <s v="Reel"/>
    <s v="Explore the latest podcasts now."/>
    <n v="1948"/>
    <n v="155"/>
    <n v="315"/>
    <n v="30321"/>
    <n v="57121"/>
    <n v="82"/>
    <s v="#DiscoverWeekly,#SoundtrackOfLife"/>
    <x v="1"/>
    <x v="4"/>
  </r>
  <r>
    <s v="SP093"/>
    <s v="Instagram"/>
    <d v="2024-02-29T00:00:00"/>
    <s v="Text"/>
    <s v="From pop to podcasts, its all here."/>
    <n v="1100"/>
    <n v="229"/>
    <n v="312"/>
    <n v="25641"/>
    <n v="34601"/>
    <n v="169"/>
    <s v="#DiscoverWeekly"/>
    <x v="1"/>
    <x v="1"/>
  </r>
  <r>
    <s v="SP094"/>
    <s v="Twitter"/>
    <d v="2024-11-13T00:00:00"/>
    <s v="Story"/>
    <s v="Top trending tracks updated daily!"/>
    <n v="4628"/>
    <n v="257"/>
    <n v="397"/>
    <n v="36686"/>
    <n v="54683"/>
    <n v="98"/>
    <s v="#SoundtrackOfLife,#NowPlaying"/>
    <x v="0"/>
    <x v="0"/>
  </r>
  <r>
    <s v="SP095"/>
    <s v="Instagram"/>
    <d v="2024-03-22T00:00:00"/>
    <s v="Story"/>
    <s v="Discover fresh beats on Spotify!"/>
    <n v="2319"/>
    <n v="484"/>
    <n v="193"/>
    <n v="21202"/>
    <n v="18091"/>
    <n v="241"/>
    <s v="#NowPlaying"/>
    <x v="3"/>
    <x v="1"/>
  </r>
  <r>
    <s v="SP096"/>
    <s v="Twitter"/>
    <d v="2024-03-16T00:00:00"/>
    <s v="Story"/>
    <s v="Wrapped is here! Relive your top tracks "/>
    <n v="2895"/>
    <n v="292"/>
    <n v="90"/>
    <n v="24223"/>
    <n v="54626"/>
    <n v="114"/>
    <s v="#SoundtrackOfLife,#NowPlaying"/>
    <x v="0"/>
    <x v="0"/>
  </r>
  <r>
    <s v="SP097"/>
    <s v="Instagram"/>
    <d v="2024-01-26T00:00:00"/>
    <s v="Text"/>
    <s v="What's your vibe today? #SpotifyHits"/>
    <n v="3878"/>
    <n v="431"/>
    <n v="97"/>
    <n v="41763"/>
    <n v="29729"/>
    <n v="191"/>
    <s v="#DiscoverWeekly"/>
    <x v="1"/>
    <x v="1"/>
  </r>
  <r>
    <s v="SP098"/>
    <s v="Twitter"/>
    <d v="2024-03-15T00:00:00"/>
    <s v="Story"/>
    <s v="Get into the groove with our new drop!"/>
    <n v="4969"/>
    <n v="433"/>
    <n v="237"/>
    <n v="59552"/>
    <n v="23885"/>
    <n v="157"/>
    <s v="#DiscoverWeekly,#MusicForEveryone"/>
    <x v="1"/>
    <x v="3"/>
  </r>
  <r>
    <s v="SP099"/>
    <s v="Twitter"/>
    <d v="2024-10-15T00:00:00"/>
    <s v="Text"/>
    <s v="Wrapped is here! Relive your top tracks "/>
    <n v="1984"/>
    <n v="481"/>
    <n v="356"/>
    <n v="40681"/>
    <n v="63111"/>
    <n v="258"/>
    <s v="#NowPlaying"/>
    <x v="3"/>
    <x v="1"/>
  </r>
  <r>
    <s v="SP100"/>
    <s v="Instagram"/>
    <d v="2024-07-21T00:00:00"/>
    <s v="Text"/>
    <s v="Discover fresh beats on Spotify!"/>
    <n v="3004"/>
    <n v="415"/>
    <n v="218"/>
    <n v="36090"/>
    <n v="37073"/>
    <n v="181"/>
    <s v="#DiscoverWeekly"/>
    <x v="1"/>
    <x v="1"/>
  </r>
  <r>
    <s v="SP101"/>
    <s v="Twitter"/>
    <d v="2024-10-12T00:00:00"/>
    <s v="Text"/>
    <s v="Get into the groove with our new drop!"/>
    <n v="3169"/>
    <n v="386"/>
    <n v="175"/>
    <n v="45012"/>
    <n v="38508"/>
    <n v="218"/>
    <s v="#NowPlaying"/>
    <x v="3"/>
    <x v="1"/>
  </r>
  <r>
    <s v="SP102"/>
    <s v="Twitter"/>
    <d v="2024-10-26T00:00:00"/>
    <s v="Text"/>
    <s v="Discover fresh beats on Spotify!"/>
    <n v="3036"/>
    <n v="293"/>
    <n v="115"/>
    <n v="23776"/>
    <n v="46386"/>
    <n v="282"/>
    <s v="#NowPlaying"/>
    <x v="3"/>
    <x v="1"/>
  </r>
  <r>
    <s v="SP103"/>
    <s v="Instagram"/>
    <d v="2024-02-14T00:00:00"/>
    <s v="Text"/>
    <s v="Music that moves you only on Spotify."/>
    <n v="1830"/>
    <n v="112"/>
    <n v="181"/>
    <n v="31870"/>
    <n v="55742"/>
    <n v="263"/>
    <s v="#SoundtrackOfLife,#NowPlaying"/>
    <x v="0"/>
    <x v="0"/>
  </r>
  <r>
    <s v="SP104"/>
    <s v="Twitter"/>
    <d v="2024-05-01T00:00:00"/>
    <s v="Story"/>
    <s v="What's your vibe today? #SpotifyHits"/>
    <n v="2587"/>
    <n v="447"/>
    <n v="183"/>
    <n v="36266"/>
    <n v="32877"/>
    <n v="132"/>
    <s v="#DiscoverWeekly,#MusicForEveryone"/>
    <x v="1"/>
    <x v="3"/>
  </r>
  <r>
    <s v="SP105"/>
    <s v="Twitter"/>
    <d v="2024-09-18T00:00:00"/>
    <s v="Text"/>
    <s v="Discover fresh beats on Spotify!"/>
    <n v="2878"/>
    <n v="265"/>
    <n v="91"/>
    <n v="52090"/>
    <n v="28924"/>
    <n v="133"/>
    <s v="#NowPlaying"/>
    <x v="3"/>
    <x v="1"/>
  </r>
  <r>
    <s v="SP106"/>
    <s v="Twitter"/>
    <d v="2025-01-20T00:00:00"/>
    <s v="Story"/>
    <s v="New music just dropped. Hit play!"/>
    <n v="4619"/>
    <n v="272"/>
    <n v="57"/>
    <n v="21334"/>
    <n v="46292"/>
    <n v="91"/>
    <s v="#SoundtrackOfLife,#NowPlaying"/>
    <x v="0"/>
    <x v="0"/>
  </r>
  <r>
    <s v="SP107"/>
    <s v="Twitter"/>
    <d v="2025-01-13T00:00:00"/>
    <s v="Text"/>
    <s v="Music that moves you only on Spotify."/>
    <n v="4090"/>
    <n v="209"/>
    <n v="278"/>
    <n v="52853"/>
    <n v="57084"/>
    <n v="102"/>
    <s v="#SoundtrackOfLife"/>
    <x v="0"/>
    <x v="1"/>
  </r>
  <r>
    <s v="SP108"/>
    <s v="YouTube"/>
    <d v="2024-09-07T00:00:00"/>
    <s v="Reel"/>
    <s v="Music that moves you only on Spotify."/>
    <n v="3882"/>
    <n v="342"/>
    <n v="374"/>
    <n v="41991"/>
    <n v="48554"/>
    <n v="118"/>
    <s v="#DiscoverWeekly,#SoundtrackOfLife"/>
    <x v="1"/>
    <x v="4"/>
  </r>
  <r>
    <s v="SP109"/>
    <s v="Instagram"/>
    <d v="2024-11-21T00:00:00"/>
    <s v="Text"/>
    <s v="Music that moves you only on Spotify."/>
    <n v="4581"/>
    <n v="181"/>
    <n v="112"/>
    <n v="35221"/>
    <n v="28797"/>
    <n v="164"/>
    <s v="#SoundtrackOfLife,#NowPlaying"/>
    <x v="0"/>
    <x v="0"/>
  </r>
  <r>
    <s v="SP110"/>
    <s v="Instagram"/>
    <d v="2024-06-26T00:00:00"/>
    <s v="Text"/>
    <s v="New music just dropped. Hit play!"/>
    <n v="3253"/>
    <n v="483"/>
    <n v="336"/>
    <n v="25397"/>
    <n v="51485"/>
    <n v="131"/>
    <s v="#DiscoverWeekly"/>
    <x v="1"/>
    <x v="1"/>
  </r>
  <r>
    <s v="SP111"/>
    <s v="YouTube"/>
    <d v="2024-07-20T00:00:00"/>
    <s v="Reel"/>
    <s v="Music that moves you only on Spotify."/>
    <n v="4955"/>
    <n v="299"/>
    <n v="345"/>
    <n v="33644"/>
    <n v="43547"/>
    <n v="194"/>
    <s v="#DiscoverWeekly,#SoundtrackOfLife"/>
    <x v="1"/>
    <x v="4"/>
  </r>
  <r>
    <s v="SP112"/>
    <s v="Instagram"/>
    <d v="2025-02-16T00:00:00"/>
    <s v="Text"/>
    <s v="Your weekend playlist is waiting."/>
    <n v="1333"/>
    <n v="286"/>
    <n v="298"/>
    <n v="36174"/>
    <n v="34517"/>
    <n v="170"/>
    <s v="#SoundtrackOfLife,#NowPlaying"/>
    <x v="0"/>
    <x v="0"/>
  </r>
  <r>
    <s v="SP113"/>
    <s v="Instagram"/>
    <d v="2024-09-09T00:00:00"/>
    <s v="Text"/>
    <s v="New music just dropped. Hit play!"/>
    <n v="1616"/>
    <n v="360"/>
    <n v="180"/>
    <n v="54342"/>
    <n v="18796"/>
    <n v="282"/>
    <s v="#SoundtrackOfLife,#NowPlaying"/>
    <x v="0"/>
    <x v="0"/>
  </r>
  <r>
    <s v="SP114"/>
    <s v="Twitter"/>
    <d v="2024-07-16T00:00:00"/>
    <s v="Text"/>
    <s v="Top trending tracks updated daily!"/>
    <n v="1803"/>
    <n v="273"/>
    <n v="287"/>
    <n v="46176"/>
    <n v="25488"/>
    <n v="141"/>
    <s v="#NowPlaying"/>
    <x v="3"/>
    <x v="1"/>
  </r>
  <r>
    <s v="SP115"/>
    <s v="Instagram"/>
    <d v="2025-04-15T00:00:00"/>
    <s v="Text"/>
    <s v="Explore the latest podcasts now."/>
    <n v="4177"/>
    <n v="489"/>
    <n v="331"/>
    <n v="57451"/>
    <n v="73793"/>
    <n v="251"/>
    <s v="#DiscoverWeekly"/>
    <x v="1"/>
    <x v="1"/>
  </r>
  <r>
    <s v="SP116"/>
    <s v="Instagram"/>
    <d v="2025-05-04T00:00:00"/>
    <s v="Story"/>
    <s v="New music just dropped. Hit play!"/>
    <n v="1311"/>
    <n v="181"/>
    <n v="361"/>
    <n v="37148"/>
    <n v="44875"/>
    <n v="245"/>
    <s v="#NowPlaying"/>
    <x v="3"/>
    <x v="1"/>
  </r>
  <r>
    <s v="SP117"/>
    <s v="Instagram"/>
    <d v="2024-02-18T00:00:00"/>
    <s v="Story"/>
    <s v="From pop to podcasts, its all here."/>
    <n v="1516"/>
    <n v="215"/>
    <n v="332"/>
    <n v="58981"/>
    <n v="36118"/>
    <n v="211"/>
    <s v="#NowPlaying"/>
    <x v="3"/>
    <x v="1"/>
  </r>
  <r>
    <s v="SP118"/>
    <s v="Twitter"/>
    <d v="2024-05-16T00:00:00"/>
    <s v="Story"/>
    <s v="Music that moves you only on Spotify."/>
    <n v="2023"/>
    <n v="124"/>
    <n v="99"/>
    <n v="54524"/>
    <n v="34790"/>
    <n v="195"/>
    <s v="#DiscoverWeekly,#MusicForEveryone"/>
    <x v="1"/>
    <x v="3"/>
  </r>
  <r>
    <s v="SP119"/>
    <s v="Twitter"/>
    <d v="2025-05-29T00:00:00"/>
    <s v="Story"/>
    <s v="Music that moves you only on Spotify."/>
    <n v="2134"/>
    <n v="322"/>
    <n v="114"/>
    <n v="44338"/>
    <n v="52165"/>
    <n v="176"/>
    <s v="#MusicForEveryone,#NowPlaying"/>
    <x v="2"/>
    <x v="0"/>
  </r>
  <r>
    <s v="SP120"/>
    <s v="Instagram"/>
    <d v="2025-01-17T00:00:00"/>
    <s v="Text"/>
    <s v="Top trending tracks updated daily!"/>
    <n v="2266"/>
    <n v="126"/>
    <n v="140"/>
    <n v="53759"/>
    <n v="46834"/>
    <n v="277"/>
    <s v="#DiscoverWeekly"/>
    <x v="1"/>
    <x v="1"/>
  </r>
  <r>
    <s v="SP121"/>
    <s v="Instagram"/>
    <d v="2025-04-30T00:00:00"/>
    <s v="Story"/>
    <s v="New music just dropped. Hit play!"/>
    <n v="3916"/>
    <n v="459"/>
    <n v="229"/>
    <n v="48989"/>
    <n v="39768"/>
    <n v="200"/>
    <s v="#NowPlaying"/>
    <x v="3"/>
    <x v="1"/>
  </r>
  <r>
    <s v="SP122"/>
    <s v="Twitter"/>
    <d v="2024-02-24T00:00:00"/>
    <s v="Story"/>
    <s v="Music that moves you only on Spotify."/>
    <n v="1022"/>
    <n v="463"/>
    <n v="360"/>
    <n v="51468"/>
    <n v="24279"/>
    <n v="230"/>
    <s v="#DiscoverWeekly,#MusicForEveryone"/>
    <x v="1"/>
    <x v="3"/>
  </r>
  <r>
    <s v="SP123"/>
    <s v="YouTube"/>
    <d v="2024-05-12T00:00:00"/>
    <s v="Text"/>
    <s v="From pop to podcasts, its all here."/>
    <n v="2911"/>
    <n v="467"/>
    <n v="94"/>
    <n v="59083"/>
    <n v="49762"/>
    <n v="236"/>
    <s v="#DiscoverWeekly,#SpotifyWrapped"/>
    <x v="1"/>
    <x v="2"/>
  </r>
  <r>
    <s v="SP124"/>
    <s v="Twitter"/>
    <d v="2024-05-09T00:00:00"/>
    <s v="Story"/>
    <s v="New music just dropped. Hit play!"/>
    <n v="3277"/>
    <n v="423"/>
    <n v="259"/>
    <n v="46328"/>
    <n v="44293"/>
    <n v="299"/>
    <s v="#SoundtrackOfLife,#NowPlaying"/>
    <x v="0"/>
    <x v="0"/>
  </r>
  <r>
    <s v="SP125"/>
    <s v="Twitter"/>
    <d v="2024-11-06T00:00:00"/>
    <s v="Text"/>
    <s v="From pop to podcasts, its all here."/>
    <n v="2956"/>
    <n v="381"/>
    <n v="345"/>
    <n v="33347"/>
    <n v="22558"/>
    <n v="173"/>
    <s v="#NowPlaying"/>
    <x v="3"/>
    <x v="1"/>
  </r>
  <r>
    <s v="SP126"/>
    <s v="Twitter"/>
    <d v="2024-01-04T00:00:00"/>
    <s v="Story"/>
    <s v="What's your vibe today? #SpotifyHits"/>
    <n v="3208"/>
    <n v="476"/>
    <n v="277"/>
    <n v="56072"/>
    <n v="21061"/>
    <n v="113"/>
    <s v="#MusicForEveryone,#NowPlaying"/>
    <x v="2"/>
    <x v="0"/>
  </r>
  <r>
    <s v="SP127"/>
    <s v="Twitter"/>
    <d v="2024-01-28T00:00:00"/>
    <s v="Text"/>
    <s v="Music that moves you only on Spotify."/>
    <n v="1456"/>
    <n v="265"/>
    <n v="137"/>
    <n v="53485"/>
    <n v="59729"/>
    <n v="145"/>
    <s v="#SoundtrackOfLife"/>
    <x v="0"/>
    <x v="1"/>
  </r>
  <r>
    <s v="SP128"/>
    <s v="Instagram"/>
    <d v="2024-02-22T00:00:00"/>
    <s v="Text"/>
    <s v="New music just dropped. Hit play!"/>
    <n v="1902"/>
    <n v="394"/>
    <n v="279"/>
    <n v="24615"/>
    <n v="51330"/>
    <n v="176"/>
    <s v="#SoundtrackOfLife,#NowPlaying"/>
    <x v="0"/>
    <x v="0"/>
  </r>
  <r>
    <s v="SP129"/>
    <s v="Twitter"/>
    <d v="2025-07-01T00:00:00"/>
    <s v="Story"/>
    <s v="Explore the latest podcasts now."/>
    <n v="3219"/>
    <n v="424"/>
    <n v="267"/>
    <n v="48879"/>
    <n v="37691"/>
    <n v="224"/>
    <s v="#DiscoverWeekly,#MusicForEveryone"/>
    <x v="1"/>
    <x v="3"/>
  </r>
  <r>
    <s v="SP130"/>
    <s v="YouTube"/>
    <d v="2024-01-10T00:00:00"/>
    <s v="Text"/>
    <s v="Explore the latest podcasts now."/>
    <n v="1261"/>
    <n v="190"/>
    <n v="233"/>
    <n v="59888"/>
    <n v="51449"/>
    <n v="205"/>
    <s v="#DiscoverWeekly,#SpotifyWrapped"/>
    <x v="1"/>
    <x v="2"/>
  </r>
  <r>
    <s v="SP131"/>
    <s v="Twitter"/>
    <d v="2025-03-20T00:00:00"/>
    <s v="Text"/>
    <s v="Your weekend playlist is waiting."/>
    <n v="1564"/>
    <n v="362"/>
    <n v="371"/>
    <n v="42075"/>
    <n v="66659"/>
    <n v="205"/>
    <s v="#SoundtrackOfLife"/>
    <x v="0"/>
    <x v="1"/>
  </r>
  <r>
    <s v="SP132"/>
    <s v="Twitter"/>
    <d v="2024-09-28T00:00:00"/>
    <s v="Text"/>
    <s v="What's your vibe today? #SpotifyHits"/>
    <n v="4006"/>
    <n v="420"/>
    <n v="194"/>
    <n v="49964"/>
    <n v="20685"/>
    <n v="148"/>
    <s v="#NowPlaying"/>
    <x v="3"/>
    <x v="1"/>
  </r>
  <r>
    <s v="SP133"/>
    <s v="YouTube"/>
    <d v="2024-01-27T00:00:00"/>
    <s v="Text"/>
    <s v="Your weekend playlist is waiting."/>
    <n v="1976"/>
    <n v="262"/>
    <n v="218"/>
    <n v="51696"/>
    <n v="44846"/>
    <n v="139"/>
    <s v="#DiscoverWeekly,#SpotifyWrapped"/>
    <x v="1"/>
    <x v="2"/>
  </r>
  <r>
    <s v="SP134"/>
    <s v="Twitter"/>
    <d v="2025-05-15T00:00:00"/>
    <s v="Text"/>
    <s v="New music just dropped. Hit play!"/>
    <n v="1583"/>
    <n v="433"/>
    <n v="249"/>
    <n v="30256"/>
    <n v="47066"/>
    <n v="196"/>
    <s v="#NowPlaying"/>
    <x v="3"/>
    <x v="1"/>
  </r>
  <r>
    <s v="SP135"/>
    <s v="Twitter"/>
    <d v="2024-10-04T00:00:00"/>
    <s v="Story"/>
    <s v="Explore the latest podcasts now."/>
    <n v="2870"/>
    <n v="380"/>
    <n v="393"/>
    <n v="37621"/>
    <n v="71794"/>
    <n v="127"/>
    <s v="#MusicForEveryone,#NowPlaying"/>
    <x v="2"/>
    <x v="0"/>
  </r>
  <r>
    <s v="SP136"/>
    <s v="Twitter"/>
    <d v="2024-11-19T00:00:00"/>
    <s v="Text"/>
    <s v="Top trending tracks updated daily!"/>
    <n v="3728"/>
    <n v="271"/>
    <n v="275"/>
    <n v="22827"/>
    <n v="37034"/>
    <n v="199"/>
    <s v="#NowPlaying"/>
    <x v="3"/>
    <x v="1"/>
  </r>
  <r>
    <s v="SP137"/>
    <s v="Twitter"/>
    <d v="2024-04-05T00:00:00"/>
    <s v="Story"/>
    <s v="New music just dropped. Hit play!"/>
    <n v="4965"/>
    <n v="175"/>
    <n v="307"/>
    <n v="32793"/>
    <n v="43412"/>
    <n v="296"/>
    <s v="#SoundtrackOfLife,#NowPlaying"/>
    <x v="0"/>
    <x v="0"/>
  </r>
  <r>
    <s v="SP138"/>
    <s v="Twitter"/>
    <d v="2024-11-28T00:00:00"/>
    <s v="Story"/>
    <s v="New music just dropped. Hit play!"/>
    <n v="1131"/>
    <n v="100"/>
    <n v="116"/>
    <n v="48437"/>
    <n v="72704"/>
    <n v="236"/>
    <s v="#DiscoverWeekly,#MusicForEveryone"/>
    <x v="1"/>
    <x v="3"/>
  </r>
  <r>
    <s v="SP139"/>
    <s v="Twitter"/>
    <d v="2025-03-09T00:00:00"/>
    <s v="Text"/>
    <s v="Your weekend playlist is waiting."/>
    <n v="2754"/>
    <n v="215"/>
    <n v="264"/>
    <n v="27762"/>
    <n v="70203"/>
    <n v="289"/>
    <s v="#NowPlaying"/>
    <x v="3"/>
    <x v="1"/>
  </r>
  <r>
    <s v="SP140"/>
    <s v="Twitter"/>
    <d v="2024-08-27T00:00:00"/>
    <s v="Story"/>
    <s v="New music just dropped. Hit play!"/>
    <n v="1856"/>
    <n v="357"/>
    <n v="348"/>
    <n v="29428"/>
    <n v="70206"/>
    <n v="236"/>
    <s v="#MusicForEveryone,#NowPlaying"/>
    <x v="2"/>
    <x v="0"/>
  </r>
  <r>
    <s v="SP141"/>
    <s v="YouTube"/>
    <d v="2024-10-01T00:00:00"/>
    <s v="Reel"/>
    <s v="Explore the latest podcasts now."/>
    <n v="3543"/>
    <n v="334"/>
    <n v="218"/>
    <n v="58007"/>
    <n v="24792"/>
    <n v="273"/>
    <s v="#DiscoverWeekly,#SoundtrackOfLife"/>
    <x v="1"/>
    <x v="4"/>
  </r>
  <r>
    <s v="SP142"/>
    <s v="Instagram"/>
    <d v="2024-12-21T00:00:00"/>
    <s v="Story"/>
    <s v="New music just dropped. Hit play!"/>
    <n v="4563"/>
    <n v="398"/>
    <n v="163"/>
    <n v="43679"/>
    <n v="48760"/>
    <n v="92"/>
    <s v="#NowPlaying"/>
    <x v="3"/>
    <x v="1"/>
  </r>
  <r>
    <s v="SP143"/>
    <s v="Instagram"/>
    <d v="2024-06-17T00:00:00"/>
    <s v="Text"/>
    <s v="Discover fresh beats on Spotify!"/>
    <n v="4283"/>
    <n v="471"/>
    <n v="156"/>
    <n v="53004"/>
    <n v="25678"/>
    <n v="105"/>
    <s v="#DiscoverWeekly"/>
    <x v="1"/>
    <x v="1"/>
  </r>
  <r>
    <s v="SP144"/>
    <s v="Instagram"/>
    <d v="2025-02-14T00:00:00"/>
    <s v="Text"/>
    <s v="Discover fresh beats on Spotify!"/>
    <n v="2329"/>
    <n v="373"/>
    <n v="291"/>
    <n v="49577"/>
    <n v="28002"/>
    <n v="82"/>
    <s v="#SoundtrackOfLife,#NowPlaying"/>
    <x v="0"/>
    <x v="0"/>
  </r>
  <r>
    <s v="SP145"/>
    <s v="Twitter"/>
    <d v="2025-05-28T00:00:00"/>
    <s v="Story"/>
    <s v="Top trending tracks updated daily!"/>
    <n v="4287"/>
    <n v="273"/>
    <n v="122"/>
    <n v="40792"/>
    <n v="23878"/>
    <n v="277"/>
    <s v="#MusicForEveryone,#NowPlaying"/>
    <x v="2"/>
    <x v="0"/>
  </r>
  <r>
    <s v="SP146"/>
    <s v="Instagram"/>
    <d v="2025-05-22T00:00:00"/>
    <s v="Text"/>
    <s v="Discover fresh beats on Spotify!"/>
    <n v="2633"/>
    <n v="318"/>
    <n v="380"/>
    <n v="40869"/>
    <n v="64474"/>
    <n v="245"/>
    <s v="#DiscoverWeekly"/>
    <x v="1"/>
    <x v="1"/>
  </r>
  <r>
    <s v="SP147"/>
    <s v="Twitter"/>
    <d v="2024-01-21T00:00:00"/>
    <s v="Story"/>
    <s v="Discover fresh beats on Spotify!"/>
    <n v="2383"/>
    <n v="136"/>
    <n v="302"/>
    <n v="39187"/>
    <n v="22133"/>
    <n v="208"/>
    <s v="#MusicForEveryone,#NowPlaying"/>
    <x v="2"/>
    <x v="0"/>
  </r>
  <r>
    <s v="SP148"/>
    <s v="Twitter"/>
    <d v="2025-02-08T00:00:00"/>
    <s v="Story"/>
    <s v="Your weekend playlist is waiting."/>
    <n v="4752"/>
    <n v="334"/>
    <n v="56"/>
    <n v="48017"/>
    <n v="55534"/>
    <n v="270"/>
    <s v="#DiscoverWeekly,#MusicForEveryone"/>
    <x v="1"/>
    <x v="3"/>
  </r>
  <r>
    <s v="SP149"/>
    <s v="Twitter"/>
    <d v="2025-04-13T00:00:00"/>
    <s v="Text"/>
    <s v="From pop to podcasts, its all here."/>
    <n v="3890"/>
    <n v="408"/>
    <n v="338"/>
    <n v="56994"/>
    <n v="32621"/>
    <n v="286"/>
    <s v="#SoundtrackOfLife"/>
    <x v="0"/>
    <x v="1"/>
  </r>
  <r>
    <s v="SP150"/>
    <s v="Twitter"/>
    <d v="2024-05-30T00:00:00"/>
    <s v="Story"/>
    <s v="Your weekend playlist is waiting."/>
    <n v="2311"/>
    <n v="207"/>
    <n v="363"/>
    <n v="30349"/>
    <n v="32925"/>
    <n v="88"/>
    <s v="#MusicForEveryone,#NowPlaying"/>
    <x v="2"/>
    <x v="0"/>
  </r>
  <r>
    <s v="SP151"/>
    <s v="Instagram"/>
    <d v="2024-08-12T00:00:00"/>
    <s v="Story"/>
    <s v="Discover fresh beats on Spotify!"/>
    <n v="2962"/>
    <n v="400"/>
    <n v="280"/>
    <n v="52508"/>
    <n v="58329"/>
    <n v="219"/>
    <s v="#NowPlaying"/>
    <x v="3"/>
    <x v="1"/>
  </r>
  <r>
    <s v="SP152"/>
    <s v="Instagram"/>
    <d v="2024-09-27T00:00:00"/>
    <s v="Text"/>
    <s v="Discover fresh beats on Spotify!"/>
    <n v="3118"/>
    <n v="116"/>
    <n v="195"/>
    <n v="37100"/>
    <n v="62629"/>
    <n v="272"/>
    <s v="#DiscoverWeekly"/>
    <x v="1"/>
    <x v="1"/>
  </r>
  <r>
    <s v="SP153"/>
    <s v="Twitter"/>
    <d v="2025-06-11T00:00:00"/>
    <s v="Story"/>
    <s v="Explore the latest podcasts now."/>
    <n v="3805"/>
    <n v="453"/>
    <n v="63"/>
    <n v="52395"/>
    <n v="72934"/>
    <n v="87"/>
    <s v="#DiscoverWeekly,#MusicForEveryone"/>
    <x v="1"/>
    <x v="3"/>
  </r>
  <r>
    <s v="SP154"/>
    <s v="Instagram"/>
    <d v="2024-11-19T00:00:00"/>
    <s v="Text"/>
    <s v="What's your vibe today? #SpotifyHits"/>
    <n v="2525"/>
    <n v="272"/>
    <n v="294"/>
    <n v="51875"/>
    <n v="24732"/>
    <n v="92"/>
    <s v="#DiscoverWeekly"/>
    <x v="1"/>
    <x v="1"/>
  </r>
  <r>
    <s v="SP155"/>
    <s v="Instagram"/>
    <d v="2024-04-25T00:00:00"/>
    <s v="Text"/>
    <s v="Music that moves you only on Spotify."/>
    <n v="3563"/>
    <n v="483"/>
    <n v="227"/>
    <n v="41085"/>
    <n v="26393"/>
    <n v="236"/>
    <s v="#SoundtrackOfLife,#NowPlaying"/>
    <x v="0"/>
    <x v="0"/>
  </r>
  <r>
    <s v="SP156"/>
    <s v="YouTube"/>
    <d v="2024-09-03T00:00:00"/>
    <s v="Reel"/>
    <s v="What's your vibe today? #SpotifyHits"/>
    <n v="1437"/>
    <n v="494"/>
    <n v="129"/>
    <n v="53048"/>
    <n v="44090"/>
    <n v="230"/>
    <s v="#DiscoverWeekly,#SoundtrackOfLife"/>
    <x v="1"/>
    <x v="4"/>
  </r>
  <r>
    <s v="SP157"/>
    <s v="YouTube"/>
    <d v="2025-03-02T00:00:00"/>
    <s v="Text"/>
    <s v="From pop to podcasts, its all here."/>
    <n v="4425"/>
    <n v="185"/>
    <n v="162"/>
    <n v="24610"/>
    <n v="21342"/>
    <n v="158"/>
    <s v="#DiscoverWeekly,#SpotifyWrapped"/>
    <x v="1"/>
    <x v="2"/>
  </r>
  <r>
    <s v="SP158"/>
    <s v="Twitter"/>
    <d v="2025-03-21T00:00:00"/>
    <s v="Story"/>
    <s v="New music just dropped. Hit play!"/>
    <n v="4609"/>
    <n v="427"/>
    <n v="395"/>
    <n v="33698"/>
    <n v="29259"/>
    <n v="216"/>
    <s v="#DiscoverWeekly,#MusicForEveryone"/>
    <x v="1"/>
    <x v="3"/>
  </r>
  <r>
    <s v="SP159"/>
    <s v="Instagram"/>
    <d v="2024-04-12T00:00:00"/>
    <s v="Story"/>
    <s v="Get into the groove with our new drop!"/>
    <n v="1558"/>
    <n v="352"/>
    <n v="202"/>
    <n v="25405"/>
    <n v="69941"/>
    <n v="219"/>
    <s v="#NowPlaying"/>
    <x v="3"/>
    <x v="1"/>
  </r>
  <r>
    <s v="SP160"/>
    <s v="YouTube"/>
    <d v="2024-02-08T00:00:00"/>
    <s v="Reel"/>
    <s v="Top trending tracks updated daily!"/>
    <n v="1889"/>
    <n v="298"/>
    <n v="122"/>
    <n v="46225"/>
    <n v="74305"/>
    <n v="293"/>
    <s v="#DiscoverWeekly,#SoundtrackOfLife"/>
    <x v="1"/>
    <x v="4"/>
  </r>
  <r>
    <s v="SP161"/>
    <s v="Instagram"/>
    <d v="2025-05-26T00:00:00"/>
    <s v="Text"/>
    <s v="Discover fresh beats on Spotify!"/>
    <n v="3086"/>
    <n v="148"/>
    <n v="310"/>
    <n v="22824"/>
    <n v="58103"/>
    <n v="275"/>
    <s v="#DiscoverWeekly"/>
    <x v="1"/>
    <x v="1"/>
  </r>
  <r>
    <s v="SP162"/>
    <s v="Instagram"/>
    <d v="2024-11-14T00:00:00"/>
    <s v="Text"/>
    <s v="Music that moves you only on Spotify."/>
    <n v="2422"/>
    <n v="318"/>
    <n v="118"/>
    <n v="25386"/>
    <n v="20873"/>
    <n v="100"/>
    <s v="#SoundtrackOfLife,#NowPlaying"/>
    <x v="0"/>
    <x v="0"/>
  </r>
  <r>
    <s v="SP163"/>
    <s v="YouTube"/>
    <d v="2024-08-09T00:00:00"/>
    <s v="Reel"/>
    <s v="From pop to podcasts, its all here."/>
    <n v="3414"/>
    <n v="154"/>
    <n v="204"/>
    <n v="34146"/>
    <n v="44633"/>
    <n v="256"/>
    <s v="#DiscoverWeekly,#SoundtrackOfLife"/>
    <x v="1"/>
    <x v="4"/>
  </r>
  <r>
    <s v="SP164"/>
    <s v="Instagram"/>
    <d v="2025-06-27T00:00:00"/>
    <s v="Story"/>
    <s v="What's your vibe today? #SpotifyHits"/>
    <n v="1342"/>
    <n v="332"/>
    <n v="163"/>
    <n v="51712"/>
    <n v="57922"/>
    <n v="168"/>
    <s v="#NowPlaying"/>
    <x v="3"/>
    <x v="1"/>
  </r>
  <r>
    <s v="SP165"/>
    <s v="Instagram"/>
    <d v="2024-05-08T00:00:00"/>
    <s v="Story"/>
    <s v="Music that moves you only on Spotify."/>
    <n v="2414"/>
    <n v="220"/>
    <n v="280"/>
    <n v="27355"/>
    <n v="50562"/>
    <n v="258"/>
    <s v="#NowPlaying"/>
    <x v="3"/>
    <x v="1"/>
  </r>
  <r>
    <s v="SP166"/>
    <s v="Instagram"/>
    <d v="2024-04-05T00:00:00"/>
    <s v="Text"/>
    <s v="New music just dropped. Hit play!"/>
    <n v="4383"/>
    <n v="352"/>
    <n v="176"/>
    <n v="53239"/>
    <n v="34168"/>
    <n v="288"/>
    <s v="#DiscoverWeekly"/>
    <x v="1"/>
    <x v="1"/>
  </r>
  <r>
    <s v="SP167"/>
    <s v="YouTube"/>
    <d v="2025-01-27T00:00:00"/>
    <s v="Text"/>
    <s v="Wrapped is here! Relive your top tracks "/>
    <n v="4294"/>
    <n v="423"/>
    <n v="93"/>
    <n v="29828"/>
    <n v="73144"/>
    <n v="298"/>
    <s v="#DiscoverWeekly,#SpotifyWrapped"/>
    <x v="1"/>
    <x v="2"/>
  </r>
  <r>
    <s v="SP168"/>
    <s v="Instagram"/>
    <d v="2024-04-03T00:00:00"/>
    <s v="Text"/>
    <s v="Top trending tracks updated daily!"/>
    <n v="2762"/>
    <n v="339"/>
    <n v="323"/>
    <n v="33757"/>
    <n v="68511"/>
    <n v="121"/>
    <s v="#SoundtrackOfLife,#NowPlaying"/>
    <x v="0"/>
    <x v="0"/>
  </r>
  <r>
    <s v="SP169"/>
    <s v="YouTube"/>
    <d v="2025-01-03T00:00:00"/>
    <s v="Text"/>
    <s v="New music just dropped. Hit play!"/>
    <n v="3782"/>
    <n v="484"/>
    <n v="144"/>
    <n v="52172"/>
    <n v="59386"/>
    <n v="175"/>
    <s v="#DiscoverWeekly,#SpotifyWrapped"/>
    <x v="1"/>
    <x v="2"/>
  </r>
  <r>
    <s v="SP170"/>
    <s v="Twitter"/>
    <d v="2024-11-23T00:00:00"/>
    <s v="Text"/>
    <s v="New music just dropped. Hit play!"/>
    <n v="4318"/>
    <n v="371"/>
    <n v="329"/>
    <n v="32347"/>
    <n v="68956"/>
    <n v="259"/>
    <s v="#SoundtrackOfLife"/>
    <x v="0"/>
    <x v="1"/>
  </r>
  <r>
    <s v="SP171"/>
    <s v="Instagram"/>
    <d v="2024-09-01T00:00:00"/>
    <s v="Story"/>
    <s v="Wrapped is here! Relive your top tracks "/>
    <n v="2335"/>
    <n v="150"/>
    <n v="75"/>
    <n v="26114"/>
    <n v="57549"/>
    <n v="135"/>
    <s v="#NowPlaying"/>
    <x v="3"/>
    <x v="1"/>
  </r>
  <r>
    <s v="SP172"/>
    <s v="YouTube"/>
    <d v="2024-04-18T00:00:00"/>
    <s v="Text"/>
    <s v="Explore the latest podcasts now."/>
    <n v="4023"/>
    <n v="293"/>
    <n v="91"/>
    <n v="26795"/>
    <n v="28924"/>
    <n v="278"/>
    <s v="#DiscoverWeekly,#SpotifyWrapped"/>
    <x v="1"/>
    <x v="2"/>
  </r>
  <r>
    <s v="SP173"/>
    <s v="Instagram"/>
    <d v="2024-06-04T00:00:00"/>
    <s v="Text"/>
    <s v="Get into the groove with our new drop!"/>
    <n v="3948"/>
    <n v="151"/>
    <n v="249"/>
    <n v="43147"/>
    <n v="63136"/>
    <n v="230"/>
    <s v="#DiscoverWeekly"/>
    <x v="1"/>
    <x v="1"/>
  </r>
  <r>
    <s v="SP174"/>
    <s v="YouTube"/>
    <d v="2025-04-02T00:00:00"/>
    <s v="Text"/>
    <s v="Wrapped is here! Relive your top tracks "/>
    <n v="4598"/>
    <n v="455"/>
    <n v="378"/>
    <n v="52952"/>
    <n v="58504"/>
    <n v="269"/>
    <s v="#DiscoverWeekly,#SpotifyWrapped"/>
    <x v="1"/>
    <x v="2"/>
  </r>
  <r>
    <s v="SP175"/>
    <s v="Twitter"/>
    <d v="2025-04-01T00:00:00"/>
    <s v="Story"/>
    <s v="Music that moves you only on Spotify."/>
    <n v="2665"/>
    <n v="143"/>
    <n v="315"/>
    <n v="54808"/>
    <n v="29818"/>
    <n v="98"/>
    <s v="#DiscoverWeekly,#MusicForEveryone"/>
    <x v="1"/>
    <x v="3"/>
  </r>
  <r>
    <s v="SP176"/>
    <s v="Instagram"/>
    <d v="2024-07-02T00:00:00"/>
    <s v="Text"/>
    <s v="Top trending tracks updated daily!"/>
    <n v="3469"/>
    <n v="371"/>
    <n v="76"/>
    <n v="46493"/>
    <n v="26906"/>
    <n v="150"/>
    <s v="#SoundtrackOfLife,#NowPlaying"/>
    <x v="0"/>
    <x v="0"/>
  </r>
  <r>
    <s v="SP177"/>
    <s v="Twitter"/>
    <d v="2024-11-10T00:00:00"/>
    <s v="Text"/>
    <s v="Explore the latest podcasts now."/>
    <n v="4823"/>
    <n v="489"/>
    <n v="302"/>
    <n v="32470"/>
    <n v="31861"/>
    <n v="178"/>
    <s v="#SoundtrackOfLife"/>
    <x v="0"/>
    <x v="1"/>
  </r>
  <r>
    <s v="SP178"/>
    <s v="Instagram"/>
    <d v="2024-12-14T00:00:00"/>
    <s v="Story"/>
    <s v="From pop to podcasts, its all here."/>
    <n v="3812"/>
    <n v="321"/>
    <n v="289"/>
    <n v="59838"/>
    <n v="36337"/>
    <n v="161"/>
    <s v="#NowPlaying"/>
    <x v="3"/>
    <x v="1"/>
  </r>
  <r>
    <s v="SP179"/>
    <s v="Twitter"/>
    <d v="2024-11-19T00:00:00"/>
    <s v="Text"/>
    <s v="Explore the latest podcasts now."/>
    <n v="2387"/>
    <n v="353"/>
    <n v="78"/>
    <n v="39745"/>
    <n v="69226"/>
    <n v="208"/>
    <s v="#SoundtrackOfLife"/>
    <x v="0"/>
    <x v="1"/>
  </r>
  <r>
    <s v="SP180"/>
    <s v="Twitter"/>
    <d v="2025-04-30T00:00:00"/>
    <s v="Story"/>
    <s v="Wrapped is here! Relive your top tracks "/>
    <n v="3929"/>
    <n v="275"/>
    <n v="330"/>
    <n v="58329"/>
    <n v="33196"/>
    <n v="85"/>
    <s v="#MusicForEveryone,#NowPlaying"/>
    <x v="2"/>
    <x v="0"/>
  </r>
  <r>
    <s v="SP181"/>
    <s v="Twitter"/>
    <d v="2024-03-19T00:00:00"/>
    <s v="Text"/>
    <s v="From pop to podcasts, its all here."/>
    <n v="2191"/>
    <n v="288"/>
    <n v="83"/>
    <n v="59606"/>
    <n v="24765"/>
    <n v="281"/>
    <s v="#SoundtrackOfLife"/>
    <x v="0"/>
    <x v="1"/>
  </r>
  <r>
    <s v="SP182"/>
    <s v="Instagram"/>
    <d v="2024-03-19T00:00:00"/>
    <s v="Text"/>
    <s v="From pop to podcasts, its all here."/>
    <n v="2878"/>
    <n v="278"/>
    <n v="255"/>
    <n v="47235"/>
    <n v="57922"/>
    <n v="112"/>
    <s v="#SoundtrackOfLife,#NowPlaying"/>
    <x v="0"/>
    <x v="0"/>
  </r>
  <r>
    <s v="SP183"/>
    <s v="Twitter"/>
    <d v="2024-07-23T00:00:00"/>
    <s v="Text"/>
    <s v="Top trending tracks updated daily!"/>
    <n v="3204"/>
    <n v="398"/>
    <n v="85"/>
    <n v="22020"/>
    <n v="58353"/>
    <n v="286"/>
    <s v="#SoundtrackOfLife"/>
    <x v="0"/>
    <x v="1"/>
  </r>
  <r>
    <s v="SP184"/>
    <s v="Twitter"/>
    <d v="2024-07-13T00:00:00"/>
    <s v="Story"/>
    <s v="Get into the groove with our new drop!"/>
    <n v="2408"/>
    <n v="323"/>
    <n v="251"/>
    <n v="47599"/>
    <n v="35543"/>
    <n v="287"/>
    <s v="#MusicForEveryone,#NowPlaying"/>
    <x v="2"/>
    <x v="0"/>
  </r>
  <r>
    <s v="SP185"/>
    <s v="YouTube"/>
    <d v="2025-04-22T00:00:00"/>
    <s v="Reel"/>
    <s v="New music just dropped. Hit play!"/>
    <n v="2733"/>
    <n v="297"/>
    <n v="235"/>
    <n v="37980"/>
    <n v="33058"/>
    <n v="219"/>
    <s v="#DiscoverWeekly,#SoundtrackOfLife"/>
    <x v="1"/>
    <x v="4"/>
  </r>
  <r>
    <s v="SP186"/>
    <s v="Twitter"/>
    <d v="2024-06-16T00:00:00"/>
    <s v="Story"/>
    <s v="Explore the latest podcasts now."/>
    <n v="4618"/>
    <n v="312"/>
    <n v="254"/>
    <n v="22571"/>
    <n v="29453"/>
    <n v="197"/>
    <s v="#MusicForEveryone,#NowPlaying"/>
    <x v="2"/>
    <x v="0"/>
  </r>
  <r>
    <s v="SP187"/>
    <s v="YouTube"/>
    <d v="2025-05-18T00:00:00"/>
    <s v="Reel"/>
    <s v="Wrapped is here! Relive your top tracks "/>
    <n v="4210"/>
    <n v="319"/>
    <n v="350"/>
    <n v="37762"/>
    <n v="55162"/>
    <n v="204"/>
    <s v="#DiscoverWeekly,#SoundtrackOfLife"/>
    <x v="1"/>
    <x v="4"/>
  </r>
  <r>
    <s v="SP188"/>
    <s v="Instagram"/>
    <d v="2025-06-06T00:00:00"/>
    <s v="Text"/>
    <s v="Wrapped is here! Relive your top tracks "/>
    <n v="3987"/>
    <n v="171"/>
    <n v="274"/>
    <n v="45122"/>
    <n v="65431"/>
    <n v="168"/>
    <s v="#DiscoverWeekly"/>
    <x v="1"/>
    <x v="1"/>
  </r>
  <r>
    <s v="SP189"/>
    <s v="YouTube"/>
    <d v="2025-02-20T00:00:00"/>
    <s v="Reel"/>
    <s v="Get into the groove with our new drop!"/>
    <n v="4957"/>
    <n v="262"/>
    <n v="365"/>
    <n v="49199"/>
    <n v="40314"/>
    <n v="216"/>
    <s v="#DiscoverWeekly,#SoundtrackOfLife"/>
    <x v="1"/>
    <x v="4"/>
  </r>
  <r>
    <s v="SP190"/>
    <s v="Instagram"/>
    <d v="2025-01-16T00:00:00"/>
    <s v="Text"/>
    <s v="Music that moves you only on Spotify."/>
    <n v="2605"/>
    <n v="282"/>
    <n v="148"/>
    <n v="32201"/>
    <n v="49583"/>
    <n v="241"/>
    <s v="#SoundtrackOfLife,#NowPlaying"/>
    <x v="0"/>
    <x v="0"/>
  </r>
  <r>
    <s v="SP191"/>
    <s v="YouTube"/>
    <d v="2024-02-24T00:00:00"/>
    <s v="Reel"/>
    <s v="Discover fresh beats on Spotify!"/>
    <n v="4221"/>
    <n v="307"/>
    <n v="58"/>
    <n v="45080"/>
    <n v="37214"/>
    <n v="240"/>
    <s v="#DiscoverWeekly,#SoundtrackOfLife"/>
    <x v="1"/>
    <x v="4"/>
  </r>
  <r>
    <s v="SP192"/>
    <s v="Twitter"/>
    <d v="2024-09-16T00:00:00"/>
    <s v="Story"/>
    <s v="What's your vibe today? #SpotifyHits"/>
    <n v="4422"/>
    <n v="434"/>
    <n v="156"/>
    <n v="56165"/>
    <n v="52431"/>
    <n v="173"/>
    <s v="#DiscoverWeekly,#MusicForEveryone"/>
    <x v="1"/>
    <x v="3"/>
  </r>
  <r>
    <s v="SP193"/>
    <s v="YouTube"/>
    <d v="2024-06-04T00:00:00"/>
    <s v="Reel"/>
    <s v="Wrapped is here! Relive your top tracks "/>
    <n v="1211"/>
    <n v="431"/>
    <n v="83"/>
    <n v="26532"/>
    <n v="47305"/>
    <n v="232"/>
    <s v="#DiscoverWeekly,#SoundtrackOfLife"/>
    <x v="1"/>
    <x v="4"/>
  </r>
  <r>
    <s v="SP194"/>
    <s v="Twitter"/>
    <d v="2024-05-10T00:00:00"/>
    <s v="Story"/>
    <s v="Explore the latest podcasts now."/>
    <n v="2784"/>
    <n v="111"/>
    <n v="399"/>
    <n v="58366"/>
    <n v="69512"/>
    <n v="269"/>
    <s v="#MusicForEveryone,#NowPlaying"/>
    <x v="2"/>
    <x v="0"/>
  </r>
  <r>
    <s v="SP195"/>
    <s v="YouTube"/>
    <d v="2024-01-14T00:00:00"/>
    <s v="Text"/>
    <s v="New music just dropped. Hit play!"/>
    <n v="3634"/>
    <n v="280"/>
    <n v="399"/>
    <n v="40256"/>
    <n v="52605"/>
    <n v="213"/>
    <s v="#DiscoverWeekly,#SpotifyWrapped"/>
    <x v="1"/>
    <x v="2"/>
  </r>
  <r>
    <s v="SP196"/>
    <s v="Instagram"/>
    <d v="2025-01-12T00:00:00"/>
    <s v="Text"/>
    <s v="From pop to podcasts, its all here."/>
    <n v="1771"/>
    <n v="487"/>
    <n v="272"/>
    <n v="48810"/>
    <n v="48084"/>
    <n v="272"/>
    <s v="#SoundtrackOfLife,#NowPlaying"/>
    <x v="0"/>
    <x v="0"/>
  </r>
  <r>
    <s v="SP197"/>
    <s v="YouTube"/>
    <d v="2024-12-08T00:00:00"/>
    <s v="Text"/>
    <s v="Top trending tracks updated daily!"/>
    <n v="1424"/>
    <n v="396"/>
    <n v="312"/>
    <n v="59517"/>
    <n v="46102"/>
    <n v="239"/>
    <s v="#DiscoverWeekly,#SpotifyWrapped"/>
    <x v="1"/>
    <x v="2"/>
  </r>
  <r>
    <s v="SP198"/>
    <s v="Twitter"/>
    <d v="2025-02-01T00:00:00"/>
    <s v="Story"/>
    <s v="Top trending tracks updated daily!"/>
    <n v="1079"/>
    <n v="265"/>
    <n v="190"/>
    <n v="43786"/>
    <n v="72428"/>
    <n v="222"/>
    <s v="#SoundtrackOfLife,#NowPlaying"/>
    <x v="0"/>
    <x v="0"/>
  </r>
  <r>
    <s v="SP199"/>
    <s v="Twitter"/>
    <d v="2024-07-11T00:00:00"/>
    <s v="Story"/>
    <s v="Get into the groove with our new drop!"/>
    <n v="4247"/>
    <n v="179"/>
    <n v="175"/>
    <n v="32991"/>
    <n v="70120"/>
    <n v="276"/>
    <s v="#SoundtrackOfLife,#NowPlaying"/>
    <x v="0"/>
    <x v="0"/>
  </r>
  <r>
    <s v="SP200"/>
    <s v="Twitter"/>
    <d v="2024-03-18T00:00:00"/>
    <s v="Text"/>
    <s v="New music just dropped. Hit play!"/>
    <n v="2033"/>
    <n v="420"/>
    <n v="94"/>
    <n v="56290"/>
    <n v="57391"/>
    <n v="196"/>
    <s v="#NowPlaying"/>
    <x v="3"/>
    <x v="1"/>
  </r>
  <r>
    <s v="SP201"/>
    <s v="Twitter"/>
    <d v="2024-09-12T00:00:00"/>
    <s v="Story"/>
    <s v="Wrapped is here! Relive your top tracks "/>
    <n v="1839"/>
    <n v="223"/>
    <n v="171"/>
    <n v="35459"/>
    <n v="69988"/>
    <n v="114"/>
    <s v="#MusicForEveryone,#NowPlaying"/>
    <x v="2"/>
    <x v="0"/>
  </r>
  <r>
    <s v="SP202"/>
    <s v="Twitter"/>
    <d v="2024-01-11T00:00:00"/>
    <s v="Story"/>
    <s v="Wrapped is here! Relive your top tracks "/>
    <n v="2340"/>
    <n v="141"/>
    <n v="206"/>
    <n v="24916"/>
    <n v="30582"/>
    <n v="157"/>
    <s v="#SoundtrackOfLife,#NowPlaying"/>
    <x v="0"/>
    <x v="0"/>
  </r>
  <r>
    <s v="SP203"/>
    <s v="Instagram"/>
    <d v="2024-10-06T00:00:00"/>
    <s v="Text"/>
    <s v="Top trending tracks updated daily!"/>
    <n v="2080"/>
    <n v="389"/>
    <n v="92"/>
    <n v="30971"/>
    <n v="25347"/>
    <n v="111"/>
    <s v="#DiscoverWeekly"/>
    <x v="1"/>
    <x v="1"/>
  </r>
  <r>
    <s v="SP204"/>
    <s v="Twitter"/>
    <d v="2024-12-30T00:00:00"/>
    <s v="Text"/>
    <s v="Get into the groove with our new drop!"/>
    <n v="4214"/>
    <n v="286"/>
    <n v="127"/>
    <n v="47293"/>
    <n v="27184"/>
    <n v="232"/>
    <s v="#NowPlaying"/>
    <x v="3"/>
    <x v="1"/>
  </r>
  <r>
    <s v="SP205"/>
    <s v="Twitter"/>
    <d v="2025-04-16T00:00:00"/>
    <s v="Text"/>
    <s v="Wrapped is here! Relive your top tracks "/>
    <n v="3792"/>
    <n v="315"/>
    <n v="120"/>
    <n v="54592"/>
    <n v="67886"/>
    <n v="117"/>
    <s v="#SoundtrackOfLife"/>
    <x v="0"/>
    <x v="1"/>
  </r>
  <r>
    <s v="SP206"/>
    <s v="Twitter"/>
    <d v="2024-08-21T00:00:00"/>
    <s v="Story"/>
    <s v="Explore the latest podcasts now."/>
    <n v="3989"/>
    <n v="476"/>
    <n v="128"/>
    <n v="57569"/>
    <n v="40193"/>
    <n v="222"/>
    <s v="#DiscoverWeekly,#MusicForEveryone"/>
    <x v="1"/>
    <x v="3"/>
  </r>
  <r>
    <s v="SP207"/>
    <s v="Twitter"/>
    <d v="2024-04-05T00:00:00"/>
    <s v="Story"/>
    <s v="Wrapped is here! Relive your top tracks "/>
    <n v="2857"/>
    <n v="443"/>
    <n v="359"/>
    <n v="51519"/>
    <n v="28256"/>
    <n v="155"/>
    <s v="#SoundtrackOfLife,#NowPlaying"/>
    <x v="0"/>
    <x v="0"/>
  </r>
  <r>
    <s v="SP208"/>
    <s v="Twitter"/>
    <d v="2025-04-07T00:00:00"/>
    <s v="Text"/>
    <s v="From pop to podcasts, its all here."/>
    <n v="1403"/>
    <n v="385"/>
    <n v="344"/>
    <n v="54223"/>
    <n v="72595"/>
    <n v="239"/>
    <s v="#SoundtrackOfLife"/>
    <x v="0"/>
    <x v="1"/>
  </r>
  <r>
    <s v="SP209"/>
    <s v="Twitter"/>
    <d v="2024-07-19T00:00:00"/>
    <s v="Story"/>
    <s v="What's your vibe today? #SpotifyHits"/>
    <n v="3071"/>
    <n v="126"/>
    <n v="200"/>
    <n v="44013"/>
    <n v="44679"/>
    <n v="118"/>
    <s v="#DiscoverWeekly,#MusicForEveryone"/>
    <x v="1"/>
    <x v="3"/>
  </r>
  <r>
    <s v="SP210"/>
    <s v="Twitter"/>
    <d v="2025-05-03T00:00:00"/>
    <s v="Story"/>
    <s v="Top trending tracks updated daily!"/>
    <n v="1010"/>
    <n v="361"/>
    <n v="240"/>
    <n v="47229"/>
    <n v="72573"/>
    <n v="275"/>
    <s v="#SoundtrackOfLife,#NowPlaying"/>
    <x v="0"/>
    <x v="0"/>
  </r>
  <r>
    <s v="SP211"/>
    <s v="Twitter"/>
    <d v="2024-04-14T00:00:00"/>
    <s v="Story"/>
    <s v="Discover fresh beats on Spotify!"/>
    <n v="1295"/>
    <n v="153"/>
    <n v="81"/>
    <n v="48350"/>
    <n v="61033"/>
    <n v="232"/>
    <s v="#DiscoverWeekly,#MusicForEveryone"/>
    <x v="1"/>
    <x v="3"/>
  </r>
  <r>
    <s v="SP212"/>
    <s v="Twitter"/>
    <d v="2025-06-19T00:00:00"/>
    <s v="Story"/>
    <s v="What's your vibe today? #SpotifyHits"/>
    <n v="1433"/>
    <n v="452"/>
    <n v="305"/>
    <n v="54541"/>
    <n v="63700"/>
    <n v="296"/>
    <s v="#DiscoverWeekly,#MusicForEveryone"/>
    <x v="1"/>
    <x v="3"/>
  </r>
  <r>
    <s v="SP213"/>
    <s v="Instagram"/>
    <d v="2025-06-24T00:00:00"/>
    <s v="Story"/>
    <s v="Get into the groove with our new drop!"/>
    <n v="4902"/>
    <n v="422"/>
    <n v="376"/>
    <n v="31674"/>
    <n v="53225"/>
    <n v="147"/>
    <s v="#NowPlaying"/>
    <x v="3"/>
    <x v="1"/>
  </r>
  <r>
    <s v="SP214"/>
    <s v="Twitter"/>
    <d v="2024-10-09T00:00:00"/>
    <s v="Text"/>
    <s v="Wrapped is here! Relive your top tracks "/>
    <n v="2659"/>
    <n v="167"/>
    <n v="73"/>
    <n v="23090"/>
    <n v="25872"/>
    <n v="293"/>
    <s v="#SoundtrackOfLife"/>
    <x v="0"/>
    <x v="1"/>
  </r>
  <r>
    <s v="SP215"/>
    <s v="YouTube"/>
    <d v="2025-01-15T00:00:00"/>
    <s v="Text"/>
    <s v="Your weekend playlist is waiting."/>
    <n v="2599"/>
    <n v="324"/>
    <n v="182"/>
    <n v="37525"/>
    <n v="37216"/>
    <n v="186"/>
    <s v="#DiscoverWeekly,#SpotifyWrapped"/>
    <x v="1"/>
    <x v="2"/>
  </r>
  <r>
    <s v="SP216"/>
    <s v="Twitter"/>
    <d v="2025-01-12T00:00:00"/>
    <s v="Text"/>
    <s v="Music that moves you only on Spotify."/>
    <n v="1765"/>
    <n v="285"/>
    <n v="100"/>
    <n v="41313"/>
    <n v="56575"/>
    <n v="174"/>
    <s v="#SoundtrackOfLife"/>
    <x v="0"/>
    <x v="1"/>
  </r>
  <r>
    <s v="SP217"/>
    <s v="Instagram"/>
    <d v="2025-05-31T00:00:00"/>
    <s v="Text"/>
    <s v="What's your vibe today? #SpotifyHits"/>
    <n v="2169"/>
    <n v="240"/>
    <n v="57"/>
    <n v="26109"/>
    <n v="46667"/>
    <n v="133"/>
    <s v="#SoundtrackOfLife,#NowPlaying"/>
    <x v="0"/>
    <x v="0"/>
  </r>
  <r>
    <s v="SP218"/>
    <s v="Twitter"/>
    <d v="2024-10-14T00:00:00"/>
    <s v="Story"/>
    <s v="Explore the latest podcasts now."/>
    <n v="4303"/>
    <n v="306"/>
    <n v="302"/>
    <n v="39575"/>
    <n v="33762"/>
    <n v="265"/>
    <s v="#DiscoverWeekly,#MusicForEveryone"/>
    <x v="1"/>
    <x v="3"/>
  </r>
  <r>
    <s v="SP219"/>
    <s v="Twitter"/>
    <d v="2024-02-10T00:00:00"/>
    <s v="Text"/>
    <s v="From pop to podcasts, its all here."/>
    <n v="1519"/>
    <n v="456"/>
    <n v="379"/>
    <n v="51611"/>
    <n v="45880"/>
    <n v="176"/>
    <s v="#SoundtrackOfLife"/>
    <x v="0"/>
    <x v="1"/>
  </r>
  <r>
    <s v="SP220"/>
    <s v="YouTube"/>
    <d v="2024-12-10T00:00:00"/>
    <s v="Text"/>
    <s v="What's your vibe today? #SpotifyHits"/>
    <n v="2569"/>
    <n v="140"/>
    <n v="375"/>
    <n v="38372"/>
    <n v="22102"/>
    <n v="255"/>
    <s v="#DiscoverWeekly,#SpotifyWrapped"/>
    <x v="1"/>
    <x v="2"/>
  </r>
  <r>
    <s v="SP221"/>
    <s v="Twitter"/>
    <d v="2025-05-09T00:00:00"/>
    <s v="Story"/>
    <s v="Music that moves you only on Spotify."/>
    <n v="2778"/>
    <n v="241"/>
    <n v="317"/>
    <n v="26247"/>
    <n v="20677"/>
    <n v="282"/>
    <s v="#MusicForEveryone,#NowPlaying"/>
    <x v="2"/>
    <x v="0"/>
  </r>
  <r>
    <s v="SP222"/>
    <s v="Twitter"/>
    <d v="2025-06-21T00:00:00"/>
    <s v="Text"/>
    <s v="Explore the latest podcasts now."/>
    <n v="3611"/>
    <n v="127"/>
    <n v="139"/>
    <n v="44768"/>
    <n v="29435"/>
    <n v="178"/>
    <s v="#NowPlaying"/>
    <x v="3"/>
    <x v="1"/>
  </r>
  <r>
    <s v="SP223"/>
    <s v="Twitter"/>
    <d v="2024-06-19T00:00:00"/>
    <s v="Text"/>
    <s v="What's your vibe today? #SpotifyHits"/>
    <n v="1224"/>
    <n v="168"/>
    <n v="199"/>
    <n v="54232"/>
    <n v="52844"/>
    <n v="271"/>
    <s v="#SoundtrackOfLife"/>
    <x v="0"/>
    <x v="1"/>
  </r>
  <r>
    <s v="SP224"/>
    <s v="Twitter"/>
    <d v="2024-12-10T00:00:00"/>
    <s v="Text"/>
    <s v="From pop to podcasts, its all here."/>
    <n v="4673"/>
    <n v="270"/>
    <n v="93"/>
    <n v="45260"/>
    <n v="57513"/>
    <n v="103"/>
    <s v="#NowPlaying"/>
    <x v="3"/>
    <x v="1"/>
  </r>
  <r>
    <s v="SP225"/>
    <s v="YouTube"/>
    <d v="2024-02-01T00:00:00"/>
    <s v="Text"/>
    <s v="Wrapped is here! Relive your top tracks "/>
    <n v="1432"/>
    <n v="437"/>
    <n v="267"/>
    <n v="40634"/>
    <n v="54511"/>
    <n v="197"/>
    <s v="#DiscoverWeekly,#SpotifyWrapped"/>
    <x v="1"/>
    <x v="2"/>
  </r>
  <r>
    <s v="SP226"/>
    <s v="Twitter"/>
    <d v="2024-01-17T00:00:00"/>
    <s v="Story"/>
    <s v="New music just dropped. Hit play!"/>
    <n v="2174"/>
    <n v="499"/>
    <n v="212"/>
    <n v="54938"/>
    <n v="27190"/>
    <n v="265"/>
    <s v="#MusicForEveryone,#NowPlaying"/>
    <x v="2"/>
    <x v="0"/>
  </r>
  <r>
    <s v="SP227"/>
    <s v="YouTube"/>
    <d v="2025-03-22T00:00:00"/>
    <s v="Text"/>
    <s v="Music that moves you only on Spotify."/>
    <n v="4308"/>
    <n v="171"/>
    <n v="106"/>
    <n v="36955"/>
    <n v="23949"/>
    <n v="294"/>
    <s v="#DiscoverWeekly,#SpotifyWrapped"/>
    <x v="1"/>
    <x v="2"/>
  </r>
  <r>
    <s v="SP228"/>
    <s v="YouTube"/>
    <d v="2024-05-30T00:00:00"/>
    <s v="Reel"/>
    <s v="What's your vibe today? #SpotifyHits"/>
    <n v="1060"/>
    <n v="442"/>
    <n v="319"/>
    <n v="57194"/>
    <n v="24258"/>
    <n v="101"/>
    <s v="#DiscoverWeekly,#SoundtrackOfLife"/>
    <x v="1"/>
    <x v="4"/>
  </r>
  <r>
    <s v="SP229"/>
    <s v="YouTube"/>
    <d v="2024-02-24T00:00:00"/>
    <s v="Text"/>
    <s v="Music that moves you only on Spotify."/>
    <n v="4653"/>
    <n v="226"/>
    <n v="349"/>
    <n v="56876"/>
    <n v="28452"/>
    <n v="257"/>
    <s v="#DiscoverWeekly,#SpotifyWrapped"/>
    <x v="1"/>
    <x v="2"/>
  </r>
  <r>
    <s v="SP230"/>
    <s v="YouTube"/>
    <d v="2025-05-14T00:00:00"/>
    <s v="Text"/>
    <s v="Discover fresh beats on Spotify!"/>
    <n v="1701"/>
    <n v="272"/>
    <n v="385"/>
    <n v="47496"/>
    <n v="40832"/>
    <n v="246"/>
    <s v="#DiscoverWeekly,#SpotifyWrapped"/>
    <x v="1"/>
    <x v="2"/>
  </r>
  <r>
    <s v="SP231"/>
    <s v="Instagram"/>
    <d v="2024-03-28T00:00:00"/>
    <s v="Text"/>
    <s v="What's your vibe today? #SpotifyHits"/>
    <n v="1673"/>
    <n v="280"/>
    <n v="67"/>
    <n v="29847"/>
    <n v="48016"/>
    <n v="213"/>
    <s v="#SoundtrackOfLife,#NowPlaying"/>
    <x v="0"/>
    <x v="0"/>
  </r>
  <r>
    <s v="SP232"/>
    <s v="YouTube"/>
    <d v="2025-03-07T00:00:00"/>
    <s v="Text"/>
    <s v="Top trending tracks updated daily!"/>
    <n v="4310"/>
    <n v="284"/>
    <n v="306"/>
    <n v="44606"/>
    <n v="42604"/>
    <n v="290"/>
    <s v="#DiscoverWeekly,#SpotifyWrapped"/>
    <x v="1"/>
    <x v="2"/>
  </r>
  <r>
    <s v="SP233"/>
    <s v="Twitter"/>
    <d v="2024-10-20T00:00:00"/>
    <s v="Text"/>
    <s v="From pop to podcasts, its all here."/>
    <n v="2752"/>
    <n v="309"/>
    <n v="91"/>
    <n v="39038"/>
    <n v="28095"/>
    <n v="277"/>
    <s v="#NowPlaying"/>
    <x v="3"/>
    <x v="1"/>
  </r>
  <r>
    <s v="SP234"/>
    <s v="Twitter"/>
    <d v="2024-02-02T00:00:00"/>
    <s v="Text"/>
    <s v="From pop to podcasts, its all here."/>
    <n v="3818"/>
    <n v="115"/>
    <n v="286"/>
    <n v="25127"/>
    <n v="22277"/>
    <n v="263"/>
    <s v="#NowPlaying"/>
    <x v="3"/>
    <x v="1"/>
  </r>
  <r>
    <s v="SP235"/>
    <s v="YouTube"/>
    <d v="2024-09-07T00:00:00"/>
    <s v="Text"/>
    <s v="Your weekend playlist is waiting."/>
    <n v="2101"/>
    <n v="411"/>
    <n v="190"/>
    <n v="41791"/>
    <n v="57090"/>
    <n v="172"/>
    <s v="#DiscoverWeekly,#SpotifyWrapped"/>
    <x v="1"/>
    <x v="2"/>
  </r>
  <r>
    <s v="SP236"/>
    <s v="Instagram"/>
    <d v="2024-12-20T00:00:00"/>
    <s v="Text"/>
    <s v="Discover fresh beats on Spotify!"/>
    <n v="2519"/>
    <n v="202"/>
    <n v="239"/>
    <n v="36245"/>
    <n v="48606"/>
    <n v="145"/>
    <s v="#DiscoverWeekly"/>
    <x v="1"/>
    <x v="1"/>
  </r>
  <r>
    <s v="SP237"/>
    <s v="YouTube"/>
    <d v="2024-01-14T00:00:00"/>
    <s v="Text"/>
    <s v="What's your vibe today? #SpotifyHits"/>
    <n v="4502"/>
    <n v="238"/>
    <n v="386"/>
    <n v="39198"/>
    <n v="25050"/>
    <n v="297"/>
    <s v="#DiscoverWeekly,#SpotifyWrapped"/>
    <x v="1"/>
    <x v="2"/>
  </r>
  <r>
    <s v="SP238"/>
    <s v="Instagram"/>
    <d v="2025-06-15T00:00:00"/>
    <s v="Text"/>
    <s v="Explore the latest podcasts now."/>
    <n v="2478"/>
    <n v="427"/>
    <n v="242"/>
    <n v="59272"/>
    <n v="37833"/>
    <n v="214"/>
    <s v="#SoundtrackOfLife,#NowPlaying"/>
    <x v="0"/>
    <x v="0"/>
  </r>
  <r>
    <s v="SP239"/>
    <s v="Twitter"/>
    <d v="2024-12-13T00:00:00"/>
    <s v="Story"/>
    <s v="New music just dropped. Hit play!"/>
    <n v="4984"/>
    <n v="300"/>
    <n v="338"/>
    <n v="32900"/>
    <n v="31691"/>
    <n v="160"/>
    <s v="#MusicForEveryone,#NowPlaying"/>
    <x v="2"/>
    <x v="0"/>
  </r>
  <r>
    <s v="SP240"/>
    <s v="YouTube"/>
    <d v="2024-08-29T00:00:00"/>
    <s v="Text"/>
    <s v="Wrapped is here! Relive your top tracks "/>
    <n v="4774"/>
    <n v="389"/>
    <n v="358"/>
    <n v="52346"/>
    <n v="30518"/>
    <n v="277"/>
    <s v="#DiscoverWeekly,#SpotifyWrapped"/>
    <x v="1"/>
    <x v="2"/>
  </r>
  <r>
    <s v="SP241"/>
    <s v="Twitter"/>
    <d v="2024-09-15T00:00:00"/>
    <s v="Text"/>
    <s v="Get into the groove with our new drop!"/>
    <n v="2145"/>
    <n v="340"/>
    <n v="85"/>
    <n v="53323"/>
    <n v="49938"/>
    <n v="104"/>
    <s v="#NowPlaying"/>
    <x v="3"/>
    <x v="1"/>
  </r>
  <r>
    <s v="SP242"/>
    <s v="Twitter"/>
    <d v="2025-04-12T00:00:00"/>
    <s v="Story"/>
    <s v="From pop to podcasts, its all here."/>
    <n v="4315"/>
    <n v="208"/>
    <n v="273"/>
    <n v="35780"/>
    <n v="44349"/>
    <n v="133"/>
    <s v="#DiscoverWeekly,#MusicForEveryone"/>
    <x v="1"/>
    <x v="3"/>
  </r>
  <r>
    <s v="SP243"/>
    <s v="Twitter"/>
    <d v="2024-12-10T00:00:00"/>
    <s v="Story"/>
    <s v="Wrapped is here! Relive your top tracks "/>
    <n v="2267"/>
    <n v="230"/>
    <n v="243"/>
    <n v="27904"/>
    <n v="69771"/>
    <n v="255"/>
    <s v="#DiscoverWeekly,#MusicForEveryone"/>
    <x v="1"/>
    <x v="3"/>
  </r>
  <r>
    <s v="SP244"/>
    <s v="YouTube"/>
    <d v="2025-06-08T00:00:00"/>
    <s v="Text"/>
    <s v="Music that moves you only on Spotify."/>
    <n v="4375"/>
    <n v="303"/>
    <n v="294"/>
    <n v="57468"/>
    <n v="53397"/>
    <n v="159"/>
    <s v="#DiscoverWeekly,#SpotifyWrapped"/>
    <x v="1"/>
    <x v="2"/>
  </r>
  <r>
    <s v="SP245"/>
    <s v="Twitter"/>
    <d v="2025-01-09T00:00:00"/>
    <s v="Story"/>
    <s v="Your weekend playlist is waiting."/>
    <n v="3817"/>
    <n v="284"/>
    <n v="204"/>
    <n v="46434"/>
    <n v="53396"/>
    <n v="104"/>
    <s v="#MusicForEveryone,#NowPlaying"/>
    <x v="2"/>
    <x v="0"/>
  </r>
  <r>
    <s v="SP246"/>
    <s v="Twitter"/>
    <d v="2024-07-08T00:00:00"/>
    <s v="Story"/>
    <s v="Top trending tracks updated daily!"/>
    <n v="2981"/>
    <n v="258"/>
    <n v="168"/>
    <n v="20677"/>
    <n v="68290"/>
    <n v="130"/>
    <s v="#SoundtrackOfLife,#NowPlaying"/>
    <x v="0"/>
    <x v="0"/>
  </r>
  <r>
    <s v="SP247"/>
    <s v="Twitter"/>
    <d v="2024-09-16T00:00:00"/>
    <s v="Story"/>
    <s v="Your weekend playlist is waiting."/>
    <n v="3300"/>
    <n v="354"/>
    <n v="397"/>
    <n v="56773"/>
    <n v="72110"/>
    <n v="163"/>
    <s v="#DiscoverWeekly,#MusicForEveryone"/>
    <x v="1"/>
    <x v="3"/>
  </r>
  <r>
    <s v="SP248"/>
    <s v="YouTube"/>
    <d v="2024-06-14T00:00:00"/>
    <s v="Reel"/>
    <s v="Wrapped is here! Relive your top tracks "/>
    <n v="4722"/>
    <n v="310"/>
    <n v="344"/>
    <n v="27911"/>
    <n v="19000"/>
    <n v="225"/>
    <s v="#DiscoverWeekly,#SoundtrackOfLife"/>
    <x v="1"/>
    <x v="4"/>
  </r>
  <r>
    <s v="SP249"/>
    <s v="Instagram"/>
    <d v="2024-03-06T00:00:00"/>
    <s v="Text"/>
    <s v="What's your vibe today? #SpotifyHits"/>
    <n v="3529"/>
    <n v="263"/>
    <n v="107"/>
    <n v="26570"/>
    <n v="19367"/>
    <n v="96"/>
    <s v="#DiscoverWeekly"/>
    <x v="1"/>
    <x v="1"/>
  </r>
  <r>
    <s v="SP250"/>
    <s v="Twitter"/>
    <d v="2025-05-15T00:00:00"/>
    <s v="Text"/>
    <s v="Your weekend playlist is waiting."/>
    <n v="4782"/>
    <n v="210"/>
    <n v="311"/>
    <n v="29793"/>
    <n v="37543"/>
    <n v="145"/>
    <s v="#NowPlaying"/>
    <x v="3"/>
    <x v="1"/>
  </r>
  <r>
    <s v="SP251"/>
    <s v="Twitter"/>
    <d v="2024-07-07T00:00:00"/>
    <s v="Text"/>
    <s v="What's your vibe today? #SpotifyHits"/>
    <n v="1848"/>
    <n v="417"/>
    <n v="294"/>
    <n v="57819"/>
    <n v="19798"/>
    <n v="262"/>
    <s v="#SoundtrackOfLife"/>
    <x v="0"/>
    <x v="1"/>
  </r>
  <r>
    <s v="SP252"/>
    <s v="YouTube"/>
    <d v="2024-10-26T00:00:00"/>
    <s v="Text"/>
    <s v="New music just dropped. Hit play!"/>
    <n v="4676"/>
    <n v="211"/>
    <n v="55"/>
    <n v="45917"/>
    <n v="73503"/>
    <n v="248"/>
    <s v="#DiscoverWeekly,#SpotifyWrapped"/>
    <x v="1"/>
    <x v="2"/>
  </r>
  <r>
    <s v="SP253"/>
    <s v="YouTube"/>
    <d v="2024-08-08T00:00:00"/>
    <s v="Text"/>
    <s v="From pop to podcasts, its all here."/>
    <n v="1994"/>
    <n v="197"/>
    <n v="290"/>
    <n v="49500"/>
    <n v="23343"/>
    <n v="160"/>
    <s v="#DiscoverWeekly,#SpotifyWrapped"/>
    <x v="1"/>
    <x v="2"/>
  </r>
  <r>
    <s v="SP254"/>
    <s v="Twitter"/>
    <d v="2025-02-03T00:00:00"/>
    <s v="Text"/>
    <s v="What's your vibe today? #SpotifyHits"/>
    <n v="4995"/>
    <n v="231"/>
    <n v="94"/>
    <n v="34431"/>
    <n v="32560"/>
    <n v="262"/>
    <s v="#NowPlaying"/>
    <x v="3"/>
    <x v="1"/>
  </r>
  <r>
    <s v="SP255"/>
    <s v="Twitter"/>
    <d v="2024-04-03T00:00:00"/>
    <s v="Story"/>
    <s v="Top trending tracks updated daily!"/>
    <n v="2291"/>
    <n v="146"/>
    <n v="399"/>
    <n v="49319"/>
    <n v="28056"/>
    <n v="90"/>
    <s v="#DiscoverWeekly,#MusicForEveryone"/>
    <x v="1"/>
    <x v="3"/>
  </r>
  <r>
    <s v="SP256"/>
    <s v="Twitter"/>
    <d v="2024-07-08T00:00:00"/>
    <s v="Story"/>
    <s v="Wrapped is here! Relive your top tracks "/>
    <n v="2304"/>
    <n v="289"/>
    <n v="161"/>
    <n v="52645"/>
    <n v="66262"/>
    <n v="146"/>
    <s v="#MusicForEveryone,#NowPlaying"/>
    <x v="2"/>
    <x v="0"/>
  </r>
  <r>
    <s v="SP257"/>
    <s v="Twitter"/>
    <d v="2024-06-08T00:00:00"/>
    <s v="Story"/>
    <s v="Top trending tracks updated daily!"/>
    <n v="3413"/>
    <n v="326"/>
    <n v="86"/>
    <n v="44680"/>
    <n v="52719"/>
    <n v="272"/>
    <s v="#DiscoverWeekly,#MusicForEveryone"/>
    <x v="1"/>
    <x v="3"/>
  </r>
  <r>
    <s v="SP258"/>
    <s v="YouTube"/>
    <d v="2025-03-20T00:00:00"/>
    <s v="Reel"/>
    <s v="From pop to podcasts, its all here."/>
    <n v="1453"/>
    <n v="156"/>
    <n v="178"/>
    <n v="52980"/>
    <n v="57180"/>
    <n v="286"/>
    <s v="#DiscoverWeekly,#SoundtrackOfLife"/>
    <x v="1"/>
    <x v="4"/>
  </r>
  <r>
    <s v="SP259"/>
    <s v="Twitter"/>
    <d v="2025-01-19T00:00:00"/>
    <s v="Story"/>
    <s v="Music that moves you only on Spotify."/>
    <n v="1651"/>
    <n v="480"/>
    <n v="282"/>
    <n v="32140"/>
    <n v="70560"/>
    <n v="138"/>
    <s v="#SoundtrackOfLife,#NowPlaying"/>
    <x v="0"/>
    <x v="0"/>
  </r>
  <r>
    <s v="SP260"/>
    <s v="Twitter"/>
    <d v="2025-01-05T00:00:00"/>
    <s v="Story"/>
    <s v="Explore the latest podcasts now."/>
    <n v="3341"/>
    <n v="154"/>
    <n v="123"/>
    <n v="43369"/>
    <n v="49035"/>
    <n v="128"/>
    <s v="#MusicForEveryone,#NowPlaying"/>
    <x v="2"/>
    <x v="0"/>
  </r>
  <r>
    <s v="SP261"/>
    <s v="Twitter"/>
    <d v="2024-11-16T00:00:00"/>
    <s v="Text"/>
    <s v="From pop to podcasts, its all here."/>
    <n v="2972"/>
    <n v="263"/>
    <n v="308"/>
    <n v="51740"/>
    <n v="28214"/>
    <n v="190"/>
    <s v="#SoundtrackOfLife"/>
    <x v="0"/>
    <x v="1"/>
  </r>
  <r>
    <s v="SP262"/>
    <s v="Twitter"/>
    <d v="2024-11-30T00:00:00"/>
    <s v="Story"/>
    <s v="Explore the latest podcasts now."/>
    <n v="4963"/>
    <n v="255"/>
    <n v="193"/>
    <n v="44386"/>
    <n v="28415"/>
    <n v="174"/>
    <s v="#MusicForEveryone,#NowPlaying"/>
    <x v="2"/>
    <x v="0"/>
  </r>
  <r>
    <s v="SP263"/>
    <s v="YouTube"/>
    <d v="2024-03-27T00:00:00"/>
    <s v="Text"/>
    <s v="Music that moves you only on Spotify."/>
    <n v="2399"/>
    <n v="191"/>
    <n v="221"/>
    <n v="51603"/>
    <n v="40033"/>
    <n v="173"/>
    <s v="#DiscoverWeekly,#SpotifyWrapped"/>
    <x v="1"/>
    <x v="2"/>
  </r>
  <r>
    <s v="SP264"/>
    <s v="YouTube"/>
    <d v="2025-05-31T00:00:00"/>
    <s v="Reel"/>
    <s v="Get into the groove with our new drop!"/>
    <n v="2162"/>
    <n v="318"/>
    <n v="83"/>
    <n v="46719"/>
    <n v="20482"/>
    <n v="185"/>
    <s v="#DiscoverWeekly,#SoundtrackOfLife"/>
    <x v="1"/>
    <x v="4"/>
  </r>
  <r>
    <s v="SP265"/>
    <s v="Twitter"/>
    <d v="2025-06-17T00:00:00"/>
    <s v="Story"/>
    <s v="Explore the latest podcasts now."/>
    <n v="4341"/>
    <n v="141"/>
    <n v="63"/>
    <n v="50081"/>
    <n v="27507"/>
    <n v="221"/>
    <s v="#DiscoverWeekly,#MusicForEveryone"/>
    <x v="1"/>
    <x v="3"/>
  </r>
  <r>
    <s v="SP266"/>
    <s v="Instagram"/>
    <d v="2024-05-30T00:00:00"/>
    <s v="Story"/>
    <s v="Get into the groove with our new drop!"/>
    <n v="2448"/>
    <n v="464"/>
    <n v="98"/>
    <n v="25737"/>
    <n v="48545"/>
    <n v="246"/>
    <s v="#NowPlaying"/>
    <x v="3"/>
    <x v="1"/>
  </r>
  <r>
    <s v="SP267"/>
    <s v="YouTube"/>
    <d v="2024-11-08T00:00:00"/>
    <s v="Text"/>
    <s v="Top trending tracks updated daily!"/>
    <n v="2471"/>
    <n v="166"/>
    <n v="320"/>
    <n v="48254"/>
    <n v="46900"/>
    <n v="111"/>
    <s v="#DiscoverWeekly,#SpotifyWrapped"/>
    <x v="1"/>
    <x v="2"/>
  </r>
  <r>
    <s v="SP268"/>
    <s v="YouTube"/>
    <d v="2024-03-17T00:00:00"/>
    <s v="Reel"/>
    <s v="Explore the latest podcasts now."/>
    <n v="2692"/>
    <n v="446"/>
    <n v="216"/>
    <n v="45818"/>
    <n v="62723"/>
    <n v="85"/>
    <s v="#DiscoverWeekly,#SoundtrackOfLife"/>
    <x v="1"/>
    <x v="4"/>
  </r>
  <r>
    <s v="SP269"/>
    <s v="YouTube"/>
    <d v="2024-06-21T00:00:00"/>
    <s v="Reel"/>
    <s v="Music that moves you only on Spotify."/>
    <n v="4621"/>
    <n v="374"/>
    <n v="298"/>
    <n v="56979"/>
    <n v="24098"/>
    <n v="205"/>
    <s v="#DiscoverWeekly,#SoundtrackOfLife"/>
    <x v="1"/>
    <x v="4"/>
  </r>
  <r>
    <s v="SP270"/>
    <s v="Twitter"/>
    <d v="2024-11-13T00:00:00"/>
    <s v="Story"/>
    <s v="New music just dropped. Hit play!"/>
    <n v="1409"/>
    <n v="466"/>
    <n v="105"/>
    <n v="58923"/>
    <n v="38753"/>
    <n v="265"/>
    <s v="#DiscoverWeekly,#MusicForEveryone"/>
    <x v="1"/>
    <x v="3"/>
  </r>
  <r>
    <s v="SP271"/>
    <s v="Twitter"/>
    <d v="2025-02-05T00:00:00"/>
    <s v="Story"/>
    <s v="Discover fresh beats on Spotify!"/>
    <n v="3029"/>
    <n v="440"/>
    <n v="66"/>
    <n v="23815"/>
    <n v="47895"/>
    <n v="210"/>
    <s v="#DiscoverWeekly,#MusicForEveryone"/>
    <x v="1"/>
    <x v="3"/>
  </r>
  <r>
    <s v="SP272"/>
    <s v="Twitter"/>
    <d v="2024-11-07T00:00:00"/>
    <s v="Text"/>
    <s v="Explore the latest podcasts now."/>
    <n v="2229"/>
    <n v="395"/>
    <n v="328"/>
    <n v="56921"/>
    <n v="37176"/>
    <n v="126"/>
    <s v="#SoundtrackOfLife"/>
    <x v="0"/>
    <x v="1"/>
  </r>
  <r>
    <s v="SP273"/>
    <s v="Twitter"/>
    <d v="2024-02-12T00:00:00"/>
    <s v="Text"/>
    <s v="Explore the latest podcasts now."/>
    <n v="2691"/>
    <n v="486"/>
    <n v="206"/>
    <n v="51133"/>
    <n v="44583"/>
    <n v="276"/>
    <s v="#NowPlaying"/>
    <x v="3"/>
    <x v="1"/>
  </r>
  <r>
    <s v="SP274"/>
    <s v="Instagram"/>
    <d v="2024-10-08T00:00:00"/>
    <s v="Text"/>
    <s v="Explore the latest podcasts now."/>
    <n v="2110"/>
    <n v="384"/>
    <n v="236"/>
    <n v="49965"/>
    <n v="61555"/>
    <n v="195"/>
    <s v="#DiscoverWeekly"/>
    <x v="1"/>
    <x v="1"/>
  </r>
  <r>
    <s v="SP275"/>
    <s v="Instagram"/>
    <d v="2024-02-19T00:00:00"/>
    <s v="Text"/>
    <s v="Wrapped is here! Relive your top tracks "/>
    <n v="4752"/>
    <n v="449"/>
    <n v="309"/>
    <n v="58530"/>
    <n v="26630"/>
    <n v="234"/>
    <s v="#DiscoverWeekly"/>
    <x v="1"/>
    <x v="1"/>
  </r>
  <r>
    <s v="SP276"/>
    <s v="Twitter"/>
    <d v="2025-03-04T00:00:00"/>
    <s v="Text"/>
    <s v="Discover fresh beats on Spotify!"/>
    <n v="2177"/>
    <n v="258"/>
    <n v="292"/>
    <n v="47276"/>
    <n v="51324"/>
    <n v="143"/>
    <s v="#NowPlaying"/>
    <x v="3"/>
    <x v="1"/>
  </r>
  <r>
    <s v="SP277"/>
    <s v="Instagram"/>
    <d v="2025-02-03T00:00:00"/>
    <s v="Story"/>
    <s v="New music just dropped. Hit play!"/>
    <n v="1205"/>
    <n v="486"/>
    <n v="269"/>
    <n v="23341"/>
    <n v="42411"/>
    <n v="184"/>
    <s v="#NowPlaying"/>
    <x v="3"/>
    <x v="1"/>
  </r>
  <r>
    <s v="SP278"/>
    <s v="Instagram"/>
    <d v="2024-12-02T00:00:00"/>
    <s v="Text"/>
    <s v="Top trending tracks updated daily!"/>
    <n v="3194"/>
    <n v="292"/>
    <n v="245"/>
    <n v="56371"/>
    <n v="65597"/>
    <n v="163"/>
    <s v="#SoundtrackOfLife,#NowPlaying"/>
    <x v="0"/>
    <x v="0"/>
  </r>
  <r>
    <s v="SP279"/>
    <s v="Twitter"/>
    <d v="2025-01-19T00:00:00"/>
    <s v="Story"/>
    <s v="New music just dropped. Hit play!"/>
    <n v="3507"/>
    <n v="295"/>
    <n v="371"/>
    <n v="20410"/>
    <n v="53965"/>
    <n v="212"/>
    <s v="#SoundtrackOfLife,#NowPlaying"/>
    <x v="0"/>
    <x v="0"/>
  </r>
  <r>
    <s v="SP280"/>
    <s v="Twitter"/>
    <d v="2024-09-28T00:00:00"/>
    <s v="Story"/>
    <s v="Wrapped is here! Relive your top tracks "/>
    <n v="4471"/>
    <n v="317"/>
    <n v="249"/>
    <n v="44862"/>
    <n v="33365"/>
    <n v="184"/>
    <s v="#DiscoverWeekly,#MusicForEveryone"/>
    <x v="1"/>
    <x v="3"/>
  </r>
  <r>
    <s v="SP281"/>
    <s v="Instagram"/>
    <d v="2024-01-07T00:00:00"/>
    <s v="Text"/>
    <s v="Top trending tracks updated daily!"/>
    <n v="4931"/>
    <n v="469"/>
    <n v="193"/>
    <n v="56701"/>
    <n v="69437"/>
    <n v="291"/>
    <s v="#SoundtrackOfLife,#NowPlaying"/>
    <x v="0"/>
    <x v="0"/>
  </r>
  <r>
    <s v="SP282"/>
    <s v="Twitter"/>
    <d v="2024-02-21T00:00:00"/>
    <s v="Story"/>
    <s v="Get into the groove with our new drop!"/>
    <n v="2604"/>
    <n v="439"/>
    <n v="148"/>
    <n v="58468"/>
    <n v="39629"/>
    <n v="163"/>
    <s v="#MusicForEveryone,#NowPlaying"/>
    <x v="2"/>
    <x v="0"/>
  </r>
  <r>
    <s v="SP283"/>
    <s v="Instagram"/>
    <d v="2024-08-27T00:00:00"/>
    <s v="Text"/>
    <s v="Music that moves you only on Spotify."/>
    <n v="4197"/>
    <n v="359"/>
    <n v="280"/>
    <n v="56048"/>
    <n v="70930"/>
    <n v="295"/>
    <s v="#DiscoverWeekly"/>
    <x v="1"/>
    <x v="1"/>
  </r>
  <r>
    <s v="SP284"/>
    <s v="Instagram"/>
    <d v="2024-10-24T00:00:00"/>
    <s v="Story"/>
    <s v="Top trending tracks updated daily!"/>
    <n v="1914"/>
    <n v="255"/>
    <n v="156"/>
    <n v="27660"/>
    <n v="47776"/>
    <n v="111"/>
    <s v="#NowPlaying"/>
    <x v="3"/>
    <x v="1"/>
  </r>
  <r>
    <s v="SP285"/>
    <s v="YouTube"/>
    <d v="2025-01-29T00:00:00"/>
    <s v="Text"/>
    <s v="New music just dropped. Hit play!"/>
    <n v="1334"/>
    <n v="357"/>
    <n v="257"/>
    <n v="56910"/>
    <n v="70606"/>
    <n v="228"/>
    <s v="#DiscoverWeekly,#SpotifyWrapped"/>
    <x v="1"/>
    <x v="2"/>
  </r>
  <r>
    <s v="SP286"/>
    <s v="Instagram"/>
    <d v="2024-05-01T00:00:00"/>
    <s v="Text"/>
    <s v="Get into the groove with our new drop!"/>
    <n v="3359"/>
    <n v="137"/>
    <n v="387"/>
    <n v="33861"/>
    <n v="47257"/>
    <n v="198"/>
    <s v="#DiscoverWeekly"/>
    <x v="1"/>
    <x v="1"/>
  </r>
  <r>
    <s v="SP287"/>
    <s v="YouTube"/>
    <d v="2024-06-25T00:00:00"/>
    <s v="Text"/>
    <s v="Your weekend playlist is waiting."/>
    <n v="2172"/>
    <n v="338"/>
    <n v="70"/>
    <n v="30515"/>
    <n v="57853"/>
    <n v="156"/>
    <s v="#DiscoverWeekly,#SpotifyWrapped"/>
    <x v="1"/>
    <x v="2"/>
  </r>
  <r>
    <s v="SP288"/>
    <s v="Twitter"/>
    <d v="2024-08-09T00:00:00"/>
    <s v="Story"/>
    <s v="From pop to podcasts, its all here."/>
    <n v="4877"/>
    <n v="442"/>
    <n v="236"/>
    <n v="52673"/>
    <n v="48241"/>
    <n v="114"/>
    <s v="#DiscoverWeekly,#MusicForEveryone"/>
    <x v="1"/>
    <x v="3"/>
  </r>
  <r>
    <s v="SP289"/>
    <s v="Instagram"/>
    <d v="2025-01-21T00:00:00"/>
    <s v="Story"/>
    <s v="New music just dropped. Hit play!"/>
    <n v="4918"/>
    <n v="440"/>
    <n v="149"/>
    <n v="53269"/>
    <n v="64370"/>
    <n v="269"/>
    <s v="#NowPlaying"/>
    <x v="3"/>
    <x v="1"/>
  </r>
  <r>
    <s v="SP290"/>
    <s v="Twitter"/>
    <d v="2024-08-13T00:00:00"/>
    <s v="Text"/>
    <s v="Explore the latest podcasts now."/>
    <n v="3418"/>
    <n v="107"/>
    <n v="221"/>
    <n v="23927"/>
    <n v="26182"/>
    <n v="155"/>
    <s v="#SoundtrackOfLife"/>
    <x v="0"/>
    <x v="1"/>
  </r>
  <r>
    <s v="SP291"/>
    <s v="Instagram"/>
    <d v="2024-06-29T00:00:00"/>
    <s v="Text"/>
    <s v="Your weekend playlist is waiting."/>
    <n v="2088"/>
    <n v="490"/>
    <n v="124"/>
    <n v="46544"/>
    <n v="69346"/>
    <n v="178"/>
    <s v="#SoundtrackOfLife,#NowPlaying"/>
    <x v="0"/>
    <x v="0"/>
  </r>
  <r>
    <s v="SP292"/>
    <s v="Twitter"/>
    <d v="2024-11-03T00:00:00"/>
    <s v="Story"/>
    <s v="Explore the latest podcasts now."/>
    <n v="3061"/>
    <n v="320"/>
    <n v="76"/>
    <n v="26640"/>
    <n v="24306"/>
    <n v="112"/>
    <s v="#MusicForEveryone,#NowPlaying"/>
    <x v="2"/>
    <x v="0"/>
  </r>
  <r>
    <s v="SP293"/>
    <s v="YouTube"/>
    <d v="2025-04-18T00:00:00"/>
    <s v="Reel"/>
    <s v="Your weekend playlist is waiting."/>
    <n v="1265"/>
    <n v="230"/>
    <n v="364"/>
    <n v="41312"/>
    <n v="50382"/>
    <n v="106"/>
    <s v="#DiscoverWeekly,#SoundtrackOfLife"/>
    <x v="1"/>
    <x v="4"/>
  </r>
  <r>
    <s v="SP294"/>
    <s v="Instagram"/>
    <d v="2024-12-27T00:00:00"/>
    <s v="Text"/>
    <s v="From pop to podcasts, its all here."/>
    <n v="1436"/>
    <n v="219"/>
    <n v="229"/>
    <n v="58488"/>
    <n v="24314"/>
    <n v="147"/>
    <s v="#DiscoverWeekly"/>
    <x v="1"/>
    <x v="1"/>
  </r>
  <r>
    <s v="SP295"/>
    <s v="Instagram"/>
    <d v="2025-03-08T00:00:00"/>
    <s v="Story"/>
    <s v="Top trending tracks updated daily!"/>
    <n v="2244"/>
    <n v="392"/>
    <n v="231"/>
    <n v="25834"/>
    <n v="50906"/>
    <n v="165"/>
    <s v="#NowPlaying"/>
    <x v="3"/>
    <x v="1"/>
  </r>
  <r>
    <s v="SP296"/>
    <s v="Twitter"/>
    <d v="2025-03-20T00:00:00"/>
    <s v="Story"/>
    <s v="Your weekend playlist is waiting."/>
    <n v="3393"/>
    <n v="104"/>
    <n v="79"/>
    <n v="30025"/>
    <n v="21593"/>
    <n v="165"/>
    <s v="#MusicForEveryone,#NowPlaying"/>
    <x v="2"/>
    <x v="0"/>
  </r>
  <r>
    <s v="SP297"/>
    <s v="Twitter"/>
    <d v="2024-11-16T00:00:00"/>
    <s v="Text"/>
    <s v="Explore the latest podcasts now."/>
    <n v="2901"/>
    <n v="108"/>
    <n v="86"/>
    <n v="51777"/>
    <n v="23773"/>
    <n v="160"/>
    <s v="#SoundtrackOfLife"/>
    <x v="0"/>
    <x v="1"/>
  </r>
  <r>
    <s v="SP298"/>
    <s v="Twitter"/>
    <d v="2025-06-30T00:00:00"/>
    <s v="Text"/>
    <s v="What's your vibe today? #SpotifyHits"/>
    <n v="2275"/>
    <n v="285"/>
    <n v="125"/>
    <n v="43970"/>
    <n v="74761"/>
    <n v="83"/>
    <s v="#NowPlaying"/>
    <x v="3"/>
    <x v="1"/>
  </r>
  <r>
    <s v="SP299"/>
    <s v="Twitter"/>
    <d v="2024-01-12T00:00:00"/>
    <s v="Story"/>
    <s v="Wrapped is here! Relive your top tracks "/>
    <n v="2227"/>
    <n v="494"/>
    <n v="161"/>
    <n v="51651"/>
    <n v="68074"/>
    <n v="240"/>
    <s v="#DiscoverWeekly,#MusicForEveryone"/>
    <x v="1"/>
    <x v="3"/>
  </r>
  <r>
    <s v="SP300"/>
    <s v="Instagram"/>
    <d v="2024-02-07T00:00:00"/>
    <s v="Text"/>
    <s v="Music that moves you only on Spotify."/>
    <n v="1883"/>
    <n v="432"/>
    <n v="397"/>
    <n v="28759"/>
    <n v="18691"/>
    <n v="270"/>
    <s v="#SoundtrackOfLife,#NowPlaying"/>
    <x v="0"/>
    <x v="0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  <r>
    <m/>
    <m/>
    <m/>
    <m/>
    <m/>
    <m/>
    <m/>
    <m/>
    <m/>
    <m/>
    <m/>
    <m/>
    <x v="4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33"/>
    <s v="#SoundtrackOfLife,#NowPlaying"/>
    <x v="0"/>
    <x v="0"/>
  </r>
  <r>
    <n v="273"/>
    <s v="#DiscoverWeekly"/>
    <x v="1"/>
    <x v="1"/>
  </r>
  <r>
    <n v="121"/>
    <s v="#MusicForEveryone,#NowPlaying"/>
    <x v="2"/>
    <x v="0"/>
  </r>
  <r>
    <n v="272"/>
    <s v="#SoundtrackOfLife,#NowPlaying"/>
    <x v="0"/>
    <x v="0"/>
  </r>
  <r>
    <n v="200"/>
    <s v="#DiscoverWeekly,#SpotifyWrapped"/>
    <x v="1"/>
    <x v="2"/>
  </r>
  <r>
    <n v="149"/>
    <s v="#DiscoverWeekly,#SpotifyWrapped"/>
    <x v="1"/>
    <x v="2"/>
  </r>
  <r>
    <n v="212"/>
    <s v="#SoundtrackOfLife,#NowPlaying"/>
    <x v="0"/>
    <x v="0"/>
  </r>
  <r>
    <n v="120"/>
    <s v="#DiscoverWeekly,#MusicForEveryone"/>
    <x v="1"/>
    <x v="3"/>
  </r>
  <r>
    <n v="171"/>
    <s v="#NowPlaying"/>
    <x v="3"/>
    <x v="1"/>
  </r>
  <r>
    <n v="284"/>
    <s v="#NowPlaying"/>
    <x v="3"/>
    <x v="1"/>
  </r>
  <r>
    <n v="88"/>
    <s v="#SoundtrackOfLife"/>
    <x v="0"/>
    <x v="1"/>
  </r>
  <r>
    <n v="86"/>
    <s v="#SoundtrackOfLife,#NowPlaying"/>
    <x v="0"/>
    <x v="0"/>
  </r>
  <r>
    <n v="213"/>
    <s v="#MusicForEveryone,#NowPlaying"/>
    <x v="2"/>
    <x v="0"/>
  </r>
  <r>
    <n v="264"/>
    <s v="#NowPlaying"/>
    <x v="3"/>
    <x v="1"/>
  </r>
  <r>
    <n v="179"/>
    <s v="#NowPlaying"/>
    <x v="3"/>
    <x v="1"/>
  </r>
  <r>
    <n v="172"/>
    <s v="#MusicForEveryone,#NowPlaying"/>
    <x v="2"/>
    <x v="0"/>
  </r>
  <r>
    <n v="83"/>
    <s v="#NowPlaying"/>
    <x v="3"/>
    <x v="1"/>
  </r>
  <r>
    <n v="235"/>
    <s v="#NowPlaying"/>
    <x v="3"/>
    <x v="1"/>
  </r>
  <r>
    <n v="95"/>
    <s v="#DiscoverWeekly,#SoundtrackOfLife"/>
    <x v="1"/>
    <x v="4"/>
  </r>
  <r>
    <n v="90"/>
    <s v="#DiscoverWeekly"/>
    <x v="1"/>
    <x v="1"/>
  </r>
  <r>
    <n v="230"/>
    <s v="#NowPlaying"/>
    <x v="3"/>
    <x v="1"/>
  </r>
  <r>
    <n v="84"/>
    <s v="#SoundtrackOfLife,#NowPlaying"/>
    <x v="0"/>
    <x v="0"/>
  </r>
  <r>
    <n v="103"/>
    <s v="#DiscoverWeekly,#SoundtrackOfLife"/>
    <x v="1"/>
    <x v="4"/>
  </r>
  <r>
    <n v="174"/>
    <s v="#SoundtrackOfLife"/>
    <x v="0"/>
    <x v="1"/>
  </r>
  <r>
    <n v="232"/>
    <s v="#DiscoverWeekly,#SoundtrackOfLife"/>
    <x v="1"/>
    <x v="4"/>
  </r>
  <r>
    <n v="147"/>
    <s v="#DiscoverWeekly,#MusicForEveryone"/>
    <x v="1"/>
    <x v="3"/>
  </r>
  <r>
    <n v="268"/>
    <s v="#SoundtrackOfLife,#NowPlaying"/>
    <x v="0"/>
    <x v="0"/>
  </r>
  <r>
    <n v="206"/>
    <s v="#DiscoverWeekly,#SoundtrackOfLife"/>
    <x v="1"/>
    <x v="4"/>
  </r>
  <r>
    <n v="202"/>
    <s v="#MusicForEveryone,#NowPlaying"/>
    <x v="2"/>
    <x v="0"/>
  </r>
  <r>
    <n v="197"/>
    <s v="#NowPlaying"/>
    <x v="3"/>
    <x v="1"/>
  </r>
  <r>
    <n v="279"/>
    <s v="#SoundtrackOfLife,#NowPlaying"/>
    <x v="0"/>
    <x v="0"/>
  </r>
  <r>
    <n v="138"/>
    <s v="#SoundtrackOfLife,#NowPlaying"/>
    <x v="0"/>
    <x v="0"/>
  </r>
  <r>
    <n v="289"/>
    <s v="#DiscoverWeekly,#MusicForEveryone"/>
    <x v="1"/>
    <x v="3"/>
  </r>
  <r>
    <n v="287"/>
    <s v="#SoundtrackOfLife,#NowPlaying"/>
    <x v="0"/>
    <x v="0"/>
  </r>
  <r>
    <n v="265"/>
    <s v="#MusicForEveryone,#NowPlaying"/>
    <x v="2"/>
    <x v="0"/>
  </r>
  <r>
    <n v="80"/>
    <s v="#DiscoverWeekly"/>
    <x v="1"/>
    <x v="1"/>
  </r>
  <r>
    <n v="80"/>
    <s v="#MusicForEveryone,#NowPlaying"/>
    <x v="2"/>
    <x v="0"/>
  </r>
  <r>
    <n v="195"/>
    <s v="#NowPlaying"/>
    <x v="3"/>
    <x v="1"/>
  </r>
  <r>
    <n v="133"/>
    <s v="#DiscoverWeekly"/>
    <x v="1"/>
    <x v="1"/>
  </r>
  <r>
    <n v="125"/>
    <s v="#NowPlaying"/>
    <x v="3"/>
    <x v="1"/>
  </r>
  <r>
    <n v="275"/>
    <s v="#SoundtrackOfLife,#NowPlaying"/>
    <x v="0"/>
    <x v="0"/>
  </r>
  <r>
    <n v="211"/>
    <s v="#NowPlaying"/>
    <x v="3"/>
    <x v="1"/>
  </r>
  <r>
    <n v="154"/>
    <s v="#SoundtrackOfLife,#NowPlaying"/>
    <x v="0"/>
    <x v="0"/>
  </r>
  <r>
    <n v="290"/>
    <s v="#DiscoverWeekly"/>
    <x v="1"/>
    <x v="1"/>
  </r>
  <r>
    <n v="201"/>
    <s v="#DiscoverWeekly,#SpotifyWrapped"/>
    <x v="1"/>
    <x v="2"/>
  </r>
  <r>
    <n v="92"/>
    <s v="#DiscoverWeekly"/>
    <x v="1"/>
    <x v="1"/>
  </r>
  <r>
    <n v="120"/>
    <s v="#DiscoverWeekly,#SoundtrackOfLife"/>
    <x v="1"/>
    <x v="4"/>
  </r>
  <r>
    <n v="213"/>
    <s v="#NowPlaying"/>
    <x v="3"/>
    <x v="1"/>
  </r>
  <r>
    <n v="191"/>
    <s v="#DiscoverWeekly,#MusicForEveryone"/>
    <x v="1"/>
    <x v="3"/>
  </r>
  <r>
    <n v="148"/>
    <s v="#NowPlaying"/>
    <x v="3"/>
    <x v="1"/>
  </r>
  <r>
    <n v="215"/>
    <s v="#DiscoverWeekly,#SoundtrackOfLife"/>
    <x v="1"/>
    <x v="4"/>
  </r>
  <r>
    <n v="261"/>
    <s v="#DiscoverWeekly,#MusicForEveryone"/>
    <x v="1"/>
    <x v="3"/>
  </r>
  <r>
    <n v="87"/>
    <s v="#MusicForEveryone,#NowPlaying"/>
    <x v="2"/>
    <x v="0"/>
  </r>
  <r>
    <n v="239"/>
    <s v="#DiscoverWeekly"/>
    <x v="1"/>
    <x v="1"/>
  </r>
  <r>
    <n v="190"/>
    <s v="#NowPlaying"/>
    <x v="3"/>
    <x v="1"/>
  </r>
  <r>
    <n v="259"/>
    <s v="#NowPlaying"/>
    <x v="3"/>
    <x v="1"/>
  </r>
  <r>
    <n v="291"/>
    <s v="#DiscoverWeekly"/>
    <x v="1"/>
    <x v="1"/>
  </r>
  <r>
    <n v="177"/>
    <s v="#DiscoverWeekly,#SpotifyWrapped"/>
    <x v="1"/>
    <x v="2"/>
  </r>
  <r>
    <n v="220"/>
    <s v="#DiscoverWeekly,#SpotifyWrapped"/>
    <x v="1"/>
    <x v="2"/>
  </r>
  <r>
    <n v="116"/>
    <s v="#DiscoverWeekly,#SpotifyWrapped"/>
    <x v="1"/>
    <x v="2"/>
  </r>
  <r>
    <n v="171"/>
    <s v="#DiscoverWeekly,#SoundtrackOfLife"/>
    <x v="1"/>
    <x v="4"/>
  </r>
  <r>
    <n v="182"/>
    <s v="#MusicForEveryone,#NowPlaying"/>
    <x v="2"/>
    <x v="0"/>
  </r>
  <r>
    <n v="237"/>
    <s v="#SoundtrackOfLife"/>
    <x v="0"/>
    <x v="1"/>
  </r>
  <r>
    <n v="205"/>
    <s v="#MusicForEveryone,#NowPlaying"/>
    <x v="2"/>
    <x v="0"/>
  </r>
  <r>
    <n v="109"/>
    <s v="#DiscoverWeekly,#SpotifyWrapped"/>
    <x v="1"/>
    <x v="2"/>
  </r>
  <r>
    <n v="227"/>
    <s v="#SoundtrackOfLife,#NowPlaying"/>
    <x v="0"/>
    <x v="0"/>
  </r>
  <r>
    <n v="267"/>
    <s v="#DiscoverWeekly,#SoundtrackOfLife"/>
    <x v="1"/>
    <x v="4"/>
  </r>
  <r>
    <n v="221"/>
    <s v="#SoundtrackOfLife"/>
    <x v="0"/>
    <x v="1"/>
  </r>
  <r>
    <n v="227"/>
    <s v="#DiscoverWeekly,#MusicForEveryone"/>
    <x v="1"/>
    <x v="3"/>
  </r>
  <r>
    <n v="107"/>
    <s v="#NowPlaying"/>
    <x v="3"/>
    <x v="1"/>
  </r>
  <r>
    <n v="135"/>
    <s v="#SoundtrackOfLife"/>
    <x v="0"/>
    <x v="1"/>
  </r>
  <r>
    <n v="193"/>
    <s v="#DiscoverWeekly"/>
    <x v="1"/>
    <x v="1"/>
  </r>
  <r>
    <n v="270"/>
    <s v="#DiscoverWeekly,#SoundtrackOfLife"/>
    <x v="1"/>
    <x v="4"/>
  </r>
  <r>
    <n v="88"/>
    <s v="#DiscoverWeekly,#MusicForEveryone"/>
    <x v="1"/>
    <x v="3"/>
  </r>
  <r>
    <n v="101"/>
    <s v="#SoundtrackOfLife,#NowPlaying"/>
    <x v="0"/>
    <x v="0"/>
  </r>
  <r>
    <n v="207"/>
    <s v="#DiscoverWeekly"/>
    <x v="1"/>
    <x v="1"/>
  </r>
  <r>
    <n v="88"/>
    <s v="#NowPlaying"/>
    <x v="3"/>
    <x v="1"/>
  </r>
  <r>
    <n v="109"/>
    <s v="#MusicForEveryone,#NowPlaying"/>
    <x v="2"/>
    <x v="0"/>
  </r>
  <r>
    <n v="128"/>
    <s v="#DiscoverWeekly,#SoundtrackOfLife"/>
    <x v="1"/>
    <x v="4"/>
  </r>
  <r>
    <n v="157"/>
    <s v="#SoundtrackOfLife,#NowPlaying"/>
    <x v="0"/>
    <x v="0"/>
  </r>
  <r>
    <n v="184"/>
    <s v="#SoundtrackOfLife"/>
    <x v="0"/>
    <x v="1"/>
  </r>
  <r>
    <n v="182"/>
    <s v="#DiscoverWeekly"/>
    <x v="1"/>
    <x v="1"/>
  </r>
  <r>
    <n v="180"/>
    <s v="#SoundtrackOfLife,#NowPlaying"/>
    <x v="0"/>
    <x v="0"/>
  </r>
  <r>
    <n v="122"/>
    <s v="#NowPlaying"/>
    <x v="3"/>
    <x v="1"/>
  </r>
  <r>
    <n v="264"/>
    <s v="#SoundtrackOfLife,#NowPlaying"/>
    <x v="0"/>
    <x v="0"/>
  </r>
  <r>
    <n v="169"/>
    <s v="#SoundtrackOfLife,#NowPlaying"/>
    <x v="0"/>
    <x v="0"/>
  </r>
  <r>
    <n v="160"/>
    <s v="#SoundtrackOfLife,#NowPlaying"/>
    <x v="0"/>
    <x v="0"/>
  </r>
  <r>
    <n v="298"/>
    <s v="#SoundtrackOfLife,#NowPlaying"/>
    <x v="0"/>
    <x v="0"/>
  </r>
  <r>
    <n v="120"/>
    <s v="#SoundtrackOfLife,#NowPlaying"/>
    <x v="0"/>
    <x v="0"/>
  </r>
  <r>
    <n v="160"/>
    <s v="#MusicForEveryone,#NowPlaying"/>
    <x v="2"/>
    <x v="0"/>
  </r>
  <r>
    <n v="111"/>
    <s v="#SoundtrackOfLife"/>
    <x v="0"/>
    <x v="1"/>
  </r>
  <r>
    <n v="82"/>
    <s v="#DiscoverWeekly,#SoundtrackOfLife"/>
    <x v="1"/>
    <x v="4"/>
  </r>
  <r>
    <n v="169"/>
    <s v="#DiscoverWeekly"/>
    <x v="1"/>
    <x v="1"/>
  </r>
  <r>
    <n v="98"/>
    <s v="#SoundtrackOfLife,#NowPlaying"/>
    <x v="0"/>
    <x v="0"/>
  </r>
  <r>
    <n v="241"/>
    <s v="#NowPlaying"/>
    <x v="3"/>
    <x v="1"/>
  </r>
  <r>
    <n v="114"/>
    <s v="#SoundtrackOfLife,#NowPlaying"/>
    <x v="0"/>
    <x v="0"/>
  </r>
  <r>
    <n v="191"/>
    <s v="#DiscoverWeekly"/>
    <x v="1"/>
    <x v="1"/>
  </r>
  <r>
    <n v="157"/>
    <s v="#DiscoverWeekly,#MusicForEveryone"/>
    <x v="1"/>
    <x v="3"/>
  </r>
  <r>
    <n v="258"/>
    <s v="#NowPlaying"/>
    <x v="3"/>
    <x v="1"/>
  </r>
  <r>
    <n v="181"/>
    <s v="#DiscoverWeekly"/>
    <x v="1"/>
    <x v="1"/>
  </r>
  <r>
    <n v="218"/>
    <s v="#NowPlaying"/>
    <x v="3"/>
    <x v="1"/>
  </r>
  <r>
    <n v="282"/>
    <s v="#NowPlaying"/>
    <x v="3"/>
    <x v="1"/>
  </r>
  <r>
    <n v="263"/>
    <s v="#SoundtrackOfLife,#NowPlaying"/>
    <x v="0"/>
    <x v="0"/>
  </r>
  <r>
    <n v="132"/>
    <s v="#DiscoverWeekly,#MusicForEveryone"/>
    <x v="1"/>
    <x v="3"/>
  </r>
  <r>
    <n v="133"/>
    <s v="#NowPlaying"/>
    <x v="3"/>
    <x v="1"/>
  </r>
  <r>
    <n v="91"/>
    <s v="#SoundtrackOfLife,#NowPlaying"/>
    <x v="0"/>
    <x v="0"/>
  </r>
  <r>
    <n v="102"/>
    <s v="#SoundtrackOfLife"/>
    <x v="0"/>
    <x v="1"/>
  </r>
  <r>
    <n v="118"/>
    <s v="#DiscoverWeekly,#SoundtrackOfLife"/>
    <x v="1"/>
    <x v="4"/>
  </r>
  <r>
    <n v="164"/>
    <s v="#SoundtrackOfLife,#NowPlaying"/>
    <x v="0"/>
    <x v="0"/>
  </r>
  <r>
    <n v="131"/>
    <s v="#DiscoverWeekly"/>
    <x v="1"/>
    <x v="1"/>
  </r>
  <r>
    <n v="194"/>
    <s v="#DiscoverWeekly,#SoundtrackOfLife"/>
    <x v="1"/>
    <x v="4"/>
  </r>
  <r>
    <n v="170"/>
    <s v="#SoundtrackOfLife,#NowPlaying"/>
    <x v="0"/>
    <x v="0"/>
  </r>
  <r>
    <n v="282"/>
    <s v="#SoundtrackOfLife,#NowPlaying"/>
    <x v="0"/>
    <x v="0"/>
  </r>
  <r>
    <n v="141"/>
    <s v="#NowPlaying"/>
    <x v="3"/>
    <x v="1"/>
  </r>
  <r>
    <n v="251"/>
    <s v="#DiscoverWeekly"/>
    <x v="1"/>
    <x v="1"/>
  </r>
  <r>
    <n v="245"/>
    <s v="#NowPlaying"/>
    <x v="3"/>
    <x v="1"/>
  </r>
  <r>
    <n v="211"/>
    <s v="#NowPlaying"/>
    <x v="3"/>
    <x v="1"/>
  </r>
  <r>
    <n v="195"/>
    <s v="#DiscoverWeekly,#MusicForEveryone"/>
    <x v="1"/>
    <x v="3"/>
  </r>
  <r>
    <n v="176"/>
    <s v="#MusicForEveryone,#NowPlaying"/>
    <x v="2"/>
    <x v="0"/>
  </r>
  <r>
    <n v="277"/>
    <s v="#DiscoverWeekly"/>
    <x v="1"/>
    <x v="1"/>
  </r>
  <r>
    <n v="200"/>
    <s v="#NowPlaying"/>
    <x v="3"/>
    <x v="1"/>
  </r>
  <r>
    <n v="230"/>
    <s v="#DiscoverWeekly,#MusicForEveryone"/>
    <x v="1"/>
    <x v="3"/>
  </r>
  <r>
    <n v="236"/>
    <s v="#DiscoverWeekly,#SpotifyWrapped"/>
    <x v="1"/>
    <x v="2"/>
  </r>
  <r>
    <n v="299"/>
    <s v="#SoundtrackOfLife,#NowPlaying"/>
    <x v="0"/>
    <x v="0"/>
  </r>
  <r>
    <n v="173"/>
    <s v="#NowPlaying"/>
    <x v="3"/>
    <x v="1"/>
  </r>
  <r>
    <n v="113"/>
    <s v="#MusicForEveryone,#NowPlaying"/>
    <x v="2"/>
    <x v="0"/>
  </r>
  <r>
    <n v="145"/>
    <s v="#SoundtrackOfLife"/>
    <x v="0"/>
    <x v="1"/>
  </r>
  <r>
    <n v="176"/>
    <s v="#SoundtrackOfLife,#NowPlaying"/>
    <x v="0"/>
    <x v="0"/>
  </r>
  <r>
    <n v="224"/>
    <s v="#DiscoverWeekly,#MusicForEveryone"/>
    <x v="1"/>
    <x v="3"/>
  </r>
  <r>
    <n v="205"/>
    <s v="#DiscoverWeekly,#SpotifyWrapped"/>
    <x v="1"/>
    <x v="2"/>
  </r>
  <r>
    <n v="205"/>
    <s v="#SoundtrackOfLife"/>
    <x v="0"/>
    <x v="1"/>
  </r>
  <r>
    <n v="148"/>
    <s v="#NowPlaying"/>
    <x v="3"/>
    <x v="1"/>
  </r>
  <r>
    <n v="139"/>
    <s v="#DiscoverWeekly,#SpotifyWrapped"/>
    <x v="1"/>
    <x v="2"/>
  </r>
  <r>
    <n v="196"/>
    <s v="#NowPlaying"/>
    <x v="3"/>
    <x v="1"/>
  </r>
  <r>
    <n v="127"/>
    <s v="#MusicForEveryone,#NowPlaying"/>
    <x v="2"/>
    <x v="0"/>
  </r>
  <r>
    <n v="199"/>
    <s v="#NowPlaying"/>
    <x v="3"/>
    <x v="1"/>
  </r>
  <r>
    <n v="296"/>
    <s v="#SoundtrackOfLife,#NowPlaying"/>
    <x v="0"/>
    <x v="0"/>
  </r>
  <r>
    <n v="236"/>
    <s v="#DiscoverWeekly,#MusicForEveryone"/>
    <x v="1"/>
    <x v="3"/>
  </r>
  <r>
    <n v="289"/>
    <s v="#NowPlaying"/>
    <x v="3"/>
    <x v="1"/>
  </r>
  <r>
    <n v="236"/>
    <s v="#MusicForEveryone,#NowPlaying"/>
    <x v="2"/>
    <x v="0"/>
  </r>
  <r>
    <n v="273"/>
    <s v="#DiscoverWeekly,#SoundtrackOfLife"/>
    <x v="1"/>
    <x v="4"/>
  </r>
  <r>
    <n v="92"/>
    <s v="#NowPlaying"/>
    <x v="3"/>
    <x v="1"/>
  </r>
  <r>
    <n v="105"/>
    <s v="#DiscoverWeekly"/>
    <x v="1"/>
    <x v="1"/>
  </r>
  <r>
    <n v="82"/>
    <s v="#SoundtrackOfLife,#NowPlaying"/>
    <x v="0"/>
    <x v="0"/>
  </r>
  <r>
    <n v="277"/>
    <s v="#MusicForEveryone,#NowPlaying"/>
    <x v="2"/>
    <x v="0"/>
  </r>
  <r>
    <n v="245"/>
    <s v="#DiscoverWeekly"/>
    <x v="1"/>
    <x v="1"/>
  </r>
  <r>
    <n v="208"/>
    <s v="#MusicForEveryone,#NowPlaying"/>
    <x v="2"/>
    <x v="0"/>
  </r>
  <r>
    <n v="270"/>
    <s v="#DiscoverWeekly,#MusicForEveryone"/>
    <x v="1"/>
    <x v="3"/>
  </r>
  <r>
    <n v="286"/>
    <s v="#SoundtrackOfLife"/>
    <x v="0"/>
    <x v="1"/>
  </r>
  <r>
    <n v="88"/>
    <s v="#MusicForEveryone,#NowPlaying"/>
    <x v="2"/>
    <x v="0"/>
  </r>
  <r>
    <n v="219"/>
    <s v="#NowPlaying"/>
    <x v="3"/>
    <x v="1"/>
  </r>
  <r>
    <n v="272"/>
    <s v="#DiscoverWeekly"/>
    <x v="1"/>
    <x v="1"/>
  </r>
  <r>
    <n v="87"/>
    <s v="#DiscoverWeekly,#MusicForEveryone"/>
    <x v="1"/>
    <x v="3"/>
  </r>
  <r>
    <n v="92"/>
    <s v="#DiscoverWeekly"/>
    <x v="1"/>
    <x v="1"/>
  </r>
  <r>
    <n v="236"/>
    <s v="#SoundtrackOfLife,#NowPlaying"/>
    <x v="0"/>
    <x v="0"/>
  </r>
  <r>
    <n v="230"/>
    <s v="#DiscoverWeekly,#SoundtrackOfLife"/>
    <x v="1"/>
    <x v="4"/>
  </r>
  <r>
    <n v="158"/>
    <s v="#DiscoverWeekly,#SpotifyWrapped"/>
    <x v="1"/>
    <x v="2"/>
  </r>
  <r>
    <n v="216"/>
    <s v="#DiscoverWeekly,#MusicForEveryone"/>
    <x v="1"/>
    <x v="3"/>
  </r>
  <r>
    <n v="219"/>
    <s v="#NowPlaying"/>
    <x v="3"/>
    <x v="1"/>
  </r>
  <r>
    <n v="293"/>
    <s v="#DiscoverWeekly,#SoundtrackOfLife"/>
    <x v="1"/>
    <x v="4"/>
  </r>
  <r>
    <n v="275"/>
    <s v="#DiscoverWeekly"/>
    <x v="1"/>
    <x v="1"/>
  </r>
  <r>
    <n v="100"/>
    <s v="#SoundtrackOfLife,#NowPlaying"/>
    <x v="0"/>
    <x v="0"/>
  </r>
  <r>
    <n v="256"/>
    <s v="#DiscoverWeekly,#SoundtrackOfLife"/>
    <x v="1"/>
    <x v="4"/>
  </r>
  <r>
    <n v="168"/>
    <s v="#NowPlaying"/>
    <x v="3"/>
    <x v="1"/>
  </r>
  <r>
    <n v="258"/>
    <s v="#NowPlaying"/>
    <x v="3"/>
    <x v="1"/>
  </r>
  <r>
    <n v="288"/>
    <s v="#DiscoverWeekly"/>
    <x v="1"/>
    <x v="1"/>
  </r>
  <r>
    <n v="298"/>
    <s v="#DiscoverWeekly,#SpotifyWrapped"/>
    <x v="1"/>
    <x v="2"/>
  </r>
  <r>
    <n v="121"/>
    <s v="#SoundtrackOfLife,#NowPlaying"/>
    <x v="0"/>
    <x v="0"/>
  </r>
  <r>
    <n v="175"/>
    <s v="#DiscoverWeekly,#SpotifyWrapped"/>
    <x v="1"/>
    <x v="2"/>
  </r>
  <r>
    <n v="259"/>
    <s v="#SoundtrackOfLife"/>
    <x v="0"/>
    <x v="1"/>
  </r>
  <r>
    <n v="135"/>
    <s v="#NowPlaying"/>
    <x v="3"/>
    <x v="1"/>
  </r>
  <r>
    <n v="278"/>
    <s v="#DiscoverWeekly,#SpotifyWrapped"/>
    <x v="1"/>
    <x v="2"/>
  </r>
  <r>
    <n v="230"/>
    <s v="#DiscoverWeekly"/>
    <x v="1"/>
    <x v="1"/>
  </r>
  <r>
    <n v="269"/>
    <s v="#DiscoverWeekly,#SpotifyWrapped"/>
    <x v="1"/>
    <x v="2"/>
  </r>
  <r>
    <n v="98"/>
    <s v="#DiscoverWeekly,#MusicForEveryone"/>
    <x v="1"/>
    <x v="3"/>
  </r>
  <r>
    <n v="150"/>
    <s v="#SoundtrackOfLife,#NowPlaying"/>
    <x v="0"/>
    <x v="0"/>
  </r>
  <r>
    <n v="178"/>
    <s v="#SoundtrackOfLife"/>
    <x v="0"/>
    <x v="1"/>
  </r>
  <r>
    <n v="161"/>
    <s v="#NowPlaying"/>
    <x v="3"/>
    <x v="1"/>
  </r>
  <r>
    <n v="208"/>
    <s v="#SoundtrackOfLife"/>
    <x v="0"/>
    <x v="1"/>
  </r>
  <r>
    <n v="85"/>
    <s v="#MusicForEveryone,#NowPlaying"/>
    <x v="2"/>
    <x v="0"/>
  </r>
  <r>
    <n v="281"/>
    <s v="#SoundtrackOfLife"/>
    <x v="0"/>
    <x v="1"/>
  </r>
  <r>
    <n v="112"/>
    <s v="#SoundtrackOfLife,#NowPlaying"/>
    <x v="0"/>
    <x v="0"/>
  </r>
  <r>
    <n v="286"/>
    <s v="#SoundtrackOfLife"/>
    <x v="0"/>
    <x v="1"/>
  </r>
  <r>
    <n v="287"/>
    <s v="#MusicForEveryone,#NowPlaying"/>
    <x v="2"/>
    <x v="0"/>
  </r>
  <r>
    <n v="219"/>
    <s v="#DiscoverWeekly,#SoundtrackOfLife"/>
    <x v="1"/>
    <x v="4"/>
  </r>
  <r>
    <n v="197"/>
    <s v="#MusicForEveryone,#NowPlaying"/>
    <x v="2"/>
    <x v="0"/>
  </r>
  <r>
    <n v="204"/>
    <s v="#DiscoverWeekly,#SoundtrackOfLife"/>
    <x v="1"/>
    <x v="4"/>
  </r>
  <r>
    <n v="168"/>
    <s v="#DiscoverWeekly"/>
    <x v="1"/>
    <x v="1"/>
  </r>
  <r>
    <n v="216"/>
    <s v="#DiscoverWeekly,#SoundtrackOfLife"/>
    <x v="1"/>
    <x v="4"/>
  </r>
  <r>
    <n v="241"/>
    <s v="#SoundtrackOfLife,#NowPlaying"/>
    <x v="0"/>
    <x v="0"/>
  </r>
  <r>
    <n v="240"/>
    <s v="#DiscoverWeekly,#SoundtrackOfLife"/>
    <x v="1"/>
    <x v="4"/>
  </r>
  <r>
    <n v="173"/>
    <s v="#DiscoverWeekly,#MusicForEveryone"/>
    <x v="1"/>
    <x v="3"/>
  </r>
  <r>
    <n v="232"/>
    <s v="#DiscoverWeekly,#SoundtrackOfLife"/>
    <x v="1"/>
    <x v="4"/>
  </r>
  <r>
    <n v="269"/>
    <s v="#MusicForEveryone,#NowPlaying"/>
    <x v="2"/>
    <x v="0"/>
  </r>
  <r>
    <n v="213"/>
    <s v="#DiscoverWeekly,#SpotifyWrapped"/>
    <x v="1"/>
    <x v="2"/>
  </r>
  <r>
    <n v="272"/>
    <s v="#SoundtrackOfLife,#NowPlaying"/>
    <x v="0"/>
    <x v="0"/>
  </r>
  <r>
    <n v="239"/>
    <s v="#DiscoverWeekly,#SpotifyWrapped"/>
    <x v="1"/>
    <x v="2"/>
  </r>
  <r>
    <n v="222"/>
    <s v="#SoundtrackOfLife,#NowPlaying"/>
    <x v="0"/>
    <x v="0"/>
  </r>
  <r>
    <n v="276"/>
    <s v="#SoundtrackOfLife,#NowPlaying"/>
    <x v="0"/>
    <x v="0"/>
  </r>
  <r>
    <n v="196"/>
    <s v="#NowPlaying"/>
    <x v="3"/>
    <x v="1"/>
  </r>
  <r>
    <n v="114"/>
    <s v="#MusicForEveryone,#NowPlaying"/>
    <x v="2"/>
    <x v="0"/>
  </r>
  <r>
    <n v="157"/>
    <s v="#SoundtrackOfLife,#NowPlaying"/>
    <x v="0"/>
    <x v="0"/>
  </r>
  <r>
    <n v="111"/>
    <s v="#DiscoverWeekly"/>
    <x v="1"/>
    <x v="1"/>
  </r>
  <r>
    <n v="232"/>
    <s v="#NowPlaying"/>
    <x v="3"/>
    <x v="1"/>
  </r>
  <r>
    <n v="117"/>
    <s v="#SoundtrackOfLife"/>
    <x v="0"/>
    <x v="1"/>
  </r>
  <r>
    <n v="222"/>
    <s v="#DiscoverWeekly,#MusicForEveryone"/>
    <x v="1"/>
    <x v="3"/>
  </r>
  <r>
    <n v="155"/>
    <s v="#SoundtrackOfLife,#NowPlaying"/>
    <x v="0"/>
    <x v="0"/>
  </r>
  <r>
    <n v="239"/>
    <s v="#SoundtrackOfLife"/>
    <x v="0"/>
    <x v="1"/>
  </r>
  <r>
    <n v="118"/>
    <s v="#DiscoverWeekly,#MusicForEveryone"/>
    <x v="1"/>
    <x v="3"/>
  </r>
  <r>
    <n v="275"/>
    <s v="#SoundtrackOfLife,#NowPlaying"/>
    <x v="0"/>
    <x v="0"/>
  </r>
  <r>
    <n v="232"/>
    <s v="#DiscoverWeekly,#MusicForEveryone"/>
    <x v="1"/>
    <x v="3"/>
  </r>
  <r>
    <n v="296"/>
    <s v="#DiscoverWeekly,#MusicForEveryone"/>
    <x v="1"/>
    <x v="3"/>
  </r>
  <r>
    <n v="147"/>
    <s v="#NowPlaying"/>
    <x v="3"/>
    <x v="1"/>
  </r>
  <r>
    <n v="293"/>
    <s v="#SoundtrackOfLife"/>
    <x v="0"/>
    <x v="1"/>
  </r>
  <r>
    <n v="186"/>
    <s v="#DiscoverWeekly,#SpotifyWrapped"/>
    <x v="1"/>
    <x v="2"/>
  </r>
  <r>
    <n v="174"/>
    <s v="#SoundtrackOfLife"/>
    <x v="0"/>
    <x v="1"/>
  </r>
  <r>
    <n v="133"/>
    <s v="#SoundtrackOfLife,#NowPlaying"/>
    <x v="0"/>
    <x v="0"/>
  </r>
  <r>
    <n v="265"/>
    <s v="#DiscoverWeekly,#MusicForEveryone"/>
    <x v="1"/>
    <x v="3"/>
  </r>
  <r>
    <n v="176"/>
    <s v="#SoundtrackOfLife"/>
    <x v="0"/>
    <x v="1"/>
  </r>
  <r>
    <n v="255"/>
    <s v="#DiscoverWeekly,#SpotifyWrapped"/>
    <x v="1"/>
    <x v="2"/>
  </r>
  <r>
    <n v="282"/>
    <s v="#MusicForEveryone,#NowPlaying"/>
    <x v="2"/>
    <x v="0"/>
  </r>
  <r>
    <n v="178"/>
    <s v="#NowPlaying"/>
    <x v="3"/>
    <x v="1"/>
  </r>
  <r>
    <n v="271"/>
    <s v="#SoundtrackOfLife"/>
    <x v="0"/>
    <x v="1"/>
  </r>
  <r>
    <n v="103"/>
    <s v="#NowPlaying"/>
    <x v="3"/>
    <x v="1"/>
  </r>
  <r>
    <n v="197"/>
    <s v="#DiscoverWeekly,#SpotifyWrapped"/>
    <x v="1"/>
    <x v="2"/>
  </r>
  <r>
    <n v="265"/>
    <s v="#MusicForEveryone,#NowPlaying"/>
    <x v="2"/>
    <x v="0"/>
  </r>
  <r>
    <n v="294"/>
    <s v="#DiscoverWeekly,#SpotifyWrapped"/>
    <x v="1"/>
    <x v="2"/>
  </r>
  <r>
    <n v="101"/>
    <s v="#DiscoverWeekly,#SoundtrackOfLife"/>
    <x v="1"/>
    <x v="4"/>
  </r>
  <r>
    <n v="257"/>
    <s v="#DiscoverWeekly,#SpotifyWrapped"/>
    <x v="1"/>
    <x v="2"/>
  </r>
  <r>
    <n v="246"/>
    <s v="#DiscoverWeekly,#SpotifyWrapped"/>
    <x v="1"/>
    <x v="2"/>
  </r>
  <r>
    <n v="213"/>
    <s v="#SoundtrackOfLife,#NowPlaying"/>
    <x v="0"/>
    <x v="0"/>
  </r>
  <r>
    <n v="290"/>
    <s v="#DiscoverWeekly,#SpotifyWrapped"/>
    <x v="1"/>
    <x v="2"/>
  </r>
  <r>
    <n v="277"/>
    <s v="#NowPlaying"/>
    <x v="3"/>
    <x v="1"/>
  </r>
  <r>
    <n v="263"/>
    <s v="#NowPlaying"/>
    <x v="3"/>
    <x v="1"/>
  </r>
  <r>
    <n v="172"/>
    <s v="#DiscoverWeekly,#SpotifyWrapped"/>
    <x v="1"/>
    <x v="2"/>
  </r>
  <r>
    <n v="145"/>
    <s v="#DiscoverWeekly"/>
    <x v="1"/>
    <x v="1"/>
  </r>
  <r>
    <n v="297"/>
    <s v="#DiscoverWeekly,#SpotifyWrapped"/>
    <x v="1"/>
    <x v="2"/>
  </r>
  <r>
    <n v="214"/>
    <s v="#SoundtrackOfLife,#NowPlaying"/>
    <x v="0"/>
    <x v="0"/>
  </r>
  <r>
    <n v="160"/>
    <s v="#MusicForEveryone,#NowPlaying"/>
    <x v="2"/>
    <x v="0"/>
  </r>
  <r>
    <n v="277"/>
    <s v="#DiscoverWeekly,#SpotifyWrapped"/>
    <x v="1"/>
    <x v="2"/>
  </r>
  <r>
    <n v="104"/>
    <s v="#NowPlaying"/>
    <x v="3"/>
    <x v="1"/>
  </r>
  <r>
    <n v="133"/>
    <s v="#DiscoverWeekly,#MusicForEveryone"/>
    <x v="1"/>
    <x v="3"/>
  </r>
  <r>
    <n v="255"/>
    <s v="#DiscoverWeekly,#MusicForEveryone"/>
    <x v="1"/>
    <x v="3"/>
  </r>
  <r>
    <n v="159"/>
    <s v="#DiscoverWeekly,#SpotifyWrapped"/>
    <x v="1"/>
    <x v="2"/>
  </r>
  <r>
    <n v="104"/>
    <s v="#MusicForEveryone,#NowPlaying"/>
    <x v="2"/>
    <x v="0"/>
  </r>
  <r>
    <n v="130"/>
    <s v="#SoundtrackOfLife,#NowPlaying"/>
    <x v="0"/>
    <x v="0"/>
  </r>
  <r>
    <n v="163"/>
    <s v="#DiscoverWeekly,#MusicForEveryone"/>
    <x v="1"/>
    <x v="3"/>
  </r>
  <r>
    <n v="225"/>
    <s v="#DiscoverWeekly,#SoundtrackOfLife"/>
    <x v="1"/>
    <x v="4"/>
  </r>
  <r>
    <n v="96"/>
    <s v="#DiscoverWeekly"/>
    <x v="1"/>
    <x v="1"/>
  </r>
  <r>
    <n v="145"/>
    <s v="#NowPlaying"/>
    <x v="3"/>
    <x v="1"/>
  </r>
  <r>
    <n v="262"/>
    <s v="#SoundtrackOfLife"/>
    <x v="0"/>
    <x v="1"/>
  </r>
  <r>
    <n v="248"/>
    <s v="#DiscoverWeekly,#SpotifyWrapped"/>
    <x v="1"/>
    <x v="2"/>
  </r>
  <r>
    <n v="160"/>
    <s v="#DiscoverWeekly,#SpotifyWrapped"/>
    <x v="1"/>
    <x v="2"/>
  </r>
  <r>
    <n v="262"/>
    <s v="#NowPlaying"/>
    <x v="3"/>
    <x v="1"/>
  </r>
  <r>
    <n v="90"/>
    <s v="#DiscoverWeekly,#MusicForEveryone"/>
    <x v="1"/>
    <x v="3"/>
  </r>
  <r>
    <n v="146"/>
    <s v="#MusicForEveryone,#NowPlaying"/>
    <x v="2"/>
    <x v="0"/>
  </r>
  <r>
    <n v="272"/>
    <s v="#DiscoverWeekly,#MusicForEveryone"/>
    <x v="1"/>
    <x v="3"/>
  </r>
  <r>
    <n v="286"/>
    <s v="#DiscoverWeekly,#SoundtrackOfLife"/>
    <x v="1"/>
    <x v="4"/>
  </r>
  <r>
    <n v="138"/>
    <s v="#SoundtrackOfLife,#NowPlaying"/>
    <x v="0"/>
    <x v="0"/>
  </r>
  <r>
    <n v="128"/>
    <s v="#MusicForEveryone,#NowPlaying"/>
    <x v="2"/>
    <x v="0"/>
  </r>
  <r>
    <n v="190"/>
    <s v="#SoundtrackOfLife"/>
    <x v="0"/>
    <x v="1"/>
  </r>
  <r>
    <n v="174"/>
    <s v="#MusicForEveryone,#NowPlaying"/>
    <x v="2"/>
    <x v="0"/>
  </r>
  <r>
    <n v="173"/>
    <s v="#DiscoverWeekly,#SpotifyWrapped"/>
    <x v="1"/>
    <x v="2"/>
  </r>
  <r>
    <n v="185"/>
    <s v="#DiscoverWeekly,#SoundtrackOfLife"/>
    <x v="1"/>
    <x v="4"/>
  </r>
  <r>
    <n v="221"/>
    <s v="#DiscoverWeekly,#MusicForEveryone"/>
    <x v="1"/>
    <x v="3"/>
  </r>
  <r>
    <n v="246"/>
    <s v="#NowPlaying"/>
    <x v="3"/>
    <x v="1"/>
  </r>
  <r>
    <n v="111"/>
    <s v="#DiscoverWeekly,#SpotifyWrapped"/>
    <x v="1"/>
    <x v="2"/>
  </r>
  <r>
    <n v="85"/>
    <s v="#DiscoverWeekly,#SoundtrackOfLife"/>
    <x v="1"/>
    <x v="4"/>
  </r>
  <r>
    <n v="205"/>
    <s v="#DiscoverWeekly,#SoundtrackOfLife"/>
    <x v="1"/>
    <x v="4"/>
  </r>
  <r>
    <n v="265"/>
    <s v="#DiscoverWeekly,#MusicForEveryone"/>
    <x v="1"/>
    <x v="3"/>
  </r>
  <r>
    <n v="210"/>
    <s v="#DiscoverWeekly,#MusicForEveryone"/>
    <x v="1"/>
    <x v="3"/>
  </r>
  <r>
    <n v="126"/>
    <s v="#SoundtrackOfLife"/>
    <x v="0"/>
    <x v="1"/>
  </r>
  <r>
    <n v="276"/>
    <s v="#NowPlaying"/>
    <x v="3"/>
    <x v="1"/>
  </r>
  <r>
    <n v="195"/>
    <s v="#DiscoverWeekly"/>
    <x v="1"/>
    <x v="1"/>
  </r>
  <r>
    <n v="234"/>
    <s v="#DiscoverWeekly"/>
    <x v="1"/>
    <x v="1"/>
  </r>
  <r>
    <n v="143"/>
    <s v="#NowPlaying"/>
    <x v="3"/>
    <x v="1"/>
  </r>
  <r>
    <n v="184"/>
    <s v="#NowPlaying"/>
    <x v="3"/>
    <x v="1"/>
  </r>
  <r>
    <n v="163"/>
    <s v="#SoundtrackOfLife,#NowPlaying"/>
    <x v="0"/>
    <x v="0"/>
  </r>
  <r>
    <n v="212"/>
    <s v="#SoundtrackOfLife,#NowPlaying"/>
    <x v="0"/>
    <x v="0"/>
  </r>
  <r>
    <n v="184"/>
    <s v="#DiscoverWeekly,#MusicForEveryone"/>
    <x v="1"/>
    <x v="3"/>
  </r>
  <r>
    <n v="291"/>
    <s v="#SoundtrackOfLife,#NowPlaying"/>
    <x v="0"/>
    <x v="0"/>
  </r>
  <r>
    <n v="163"/>
    <s v="#MusicForEveryone,#NowPlaying"/>
    <x v="2"/>
    <x v="0"/>
  </r>
  <r>
    <n v="295"/>
    <s v="#DiscoverWeekly"/>
    <x v="1"/>
    <x v="1"/>
  </r>
  <r>
    <n v="111"/>
    <s v="#NowPlaying"/>
    <x v="3"/>
    <x v="1"/>
  </r>
  <r>
    <n v="228"/>
    <s v="#DiscoverWeekly,#SpotifyWrapped"/>
    <x v="1"/>
    <x v="2"/>
  </r>
  <r>
    <n v="198"/>
    <s v="#DiscoverWeekly"/>
    <x v="1"/>
    <x v="1"/>
  </r>
  <r>
    <n v="156"/>
    <s v="#DiscoverWeekly,#SpotifyWrapped"/>
    <x v="1"/>
    <x v="2"/>
  </r>
  <r>
    <n v="114"/>
    <s v="#DiscoverWeekly,#MusicForEveryone"/>
    <x v="1"/>
    <x v="3"/>
  </r>
  <r>
    <n v="269"/>
    <s v="#NowPlaying"/>
    <x v="3"/>
    <x v="1"/>
  </r>
  <r>
    <n v="155"/>
    <s v="#SoundtrackOfLife"/>
    <x v="0"/>
    <x v="1"/>
  </r>
  <r>
    <n v="178"/>
    <s v="#SoundtrackOfLife,#NowPlaying"/>
    <x v="0"/>
    <x v="0"/>
  </r>
  <r>
    <n v="112"/>
    <s v="#MusicForEveryone,#NowPlaying"/>
    <x v="2"/>
    <x v="0"/>
  </r>
  <r>
    <n v="106"/>
    <s v="#DiscoverWeekly,#SoundtrackOfLife"/>
    <x v="1"/>
    <x v="4"/>
  </r>
  <r>
    <n v="147"/>
    <s v="#DiscoverWeekly"/>
    <x v="1"/>
    <x v="1"/>
  </r>
  <r>
    <n v="165"/>
    <s v="#NowPlaying"/>
    <x v="3"/>
    <x v="1"/>
  </r>
  <r>
    <n v="165"/>
    <s v="#MusicForEveryone,#NowPlaying"/>
    <x v="2"/>
    <x v="0"/>
  </r>
  <r>
    <n v="160"/>
    <s v="#SoundtrackOfLife"/>
    <x v="0"/>
    <x v="1"/>
  </r>
  <r>
    <n v="83"/>
    <s v="#NowPlaying"/>
    <x v="3"/>
    <x v="1"/>
  </r>
  <r>
    <n v="240"/>
    <s v="#DiscoverWeekly,#MusicForEveryone"/>
    <x v="1"/>
    <x v="3"/>
  </r>
  <r>
    <n v="270"/>
    <s v="#SoundtrackOfLife,#NowPlaying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402"/>
    <n v="68"/>
    <n v="124562"/>
    <n v="9.92"/>
    <n v="23125"/>
    <n v="1.0709526179733787E-2"/>
  </r>
  <r>
    <x v="1"/>
    <n v="995"/>
    <n v="86"/>
    <n v="227958"/>
    <n v="8.0500000000000007"/>
    <n v="22788"/>
    <n v="3.9875766588582107E-3"/>
  </r>
  <r>
    <x v="2"/>
    <n v="1472"/>
    <n v="296"/>
    <n v="370242"/>
    <n v="7.72"/>
    <n v="7810"/>
    <n v="3.176300905893983E-3"/>
  </r>
  <r>
    <x v="0"/>
    <n v="1018"/>
    <n v="90"/>
    <n v="92474"/>
    <n v="9.4"/>
    <n v="11966"/>
    <n v="1.0035253152237385E-2"/>
  </r>
  <r>
    <x v="1"/>
    <n v="1461"/>
    <n v="64"/>
    <n v="328902"/>
    <n v="9.02"/>
    <n v="26298"/>
    <n v="4.247465810484582E-3"/>
  </r>
  <r>
    <x v="2"/>
    <n v="545"/>
    <n v="93"/>
    <n v="391621"/>
    <n v="9.9600000000000009"/>
    <n v="22029"/>
    <n v="1.1541771253329111E-3"/>
  </r>
  <r>
    <x v="0"/>
    <n v="881"/>
    <n v="291"/>
    <n v="95885"/>
    <n v="5.29"/>
    <n v="12391"/>
    <n v="6.1532043593888509E-3"/>
  </r>
  <r>
    <x v="1"/>
    <n v="1414"/>
    <n v="131"/>
    <n v="245947"/>
    <n v="8.3000000000000007"/>
    <n v="14477"/>
    <n v="5.2165710498603361E-3"/>
  </r>
  <r>
    <x v="2"/>
    <n v="1472"/>
    <n v="170"/>
    <n v="250428"/>
    <n v="4.66"/>
    <n v="25040"/>
    <n v="5.1990991422684362E-3"/>
  </r>
  <r>
    <x v="0"/>
    <n v="809"/>
    <n v="197"/>
    <n v="87186"/>
    <n v="9.48"/>
    <n v="22619"/>
    <n v="7.0194756038813571E-3"/>
  </r>
  <r>
    <x v="1"/>
    <n v="1371"/>
    <n v="250"/>
    <n v="128620"/>
    <n v="7.11"/>
    <n v="12399"/>
    <n v="8.7155963302752298E-3"/>
  </r>
  <r>
    <x v="2"/>
    <n v="844"/>
    <n v="144"/>
    <n v="126015"/>
    <n v="9.65"/>
    <n v="22456"/>
    <n v="5.5548942586200059E-3"/>
  </r>
  <r>
    <x v="0"/>
    <n v="786"/>
    <n v="72"/>
    <n v="178615"/>
    <n v="5.43"/>
    <n v="19328"/>
    <n v="3.9974246283906723E-3"/>
  </r>
  <r>
    <x v="1"/>
    <n v="845"/>
    <n v="250"/>
    <n v="218228"/>
    <n v="4.5199999999999996"/>
    <n v="21107"/>
    <n v="2.7265062228494967E-3"/>
  </r>
  <r>
    <x v="2"/>
    <n v="1218"/>
    <n v="101"/>
    <n v="300397"/>
    <n v="4.33"/>
    <n v="12277"/>
    <n v="3.7184126339477423E-3"/>
  </r>
  <r>
    <x v="0"/>
    <n v="797"/>
    <n v="130"/>
    <n v="340121"/>
    <n v="8.52"/>
    <n v="11684"/>
    <n v="1.9610667968164271E-3"/>
  </r>
  <r>
    <x v="1"/>
    <n v="1471"/>
    <n v="100"/>
    <n v="76866"/>
    <n v="8.5500000000000007"/>
    <n v="14412"/>
    <n v="1.7836234485988603E-2"/>
  </r>
  <r>
    <x v="2"/>
    <n v="1253"/>
    <n v="136"/>
    <n v="193131"/>
    <n v="7.99"/>
    <n v="15924"/>
    <n v="5.7836390843520723E-3"/>
  </r>
  <r>
    <x v="0"/>
    <n v="616"/>
    <n v="257"/>
    <n v="169665"/>
    <n v="6.31"/>
    <n v="12390"/>
    <n v="2.1159343412017798E-3"/>
  </r>
  <r>
    <x v="1"/>
    <n v="1308"/>
    <n v="210"/>
    <n v="263729"/>
    <n v="8.5299999999999994"/>
    <n v="25742"/>
    <n v="4.1633646660018432E-3"/>
  </r>
  <r>
    <x v="2"/>
    <n v="981"/>
    <n v="69"/>
    <n v="206921"/>
    <n v="8.42"/>
    <n v="10495"/>
    <n v="4.4074791828765565E-3"/>
  </r>
  <r>
    <x v="0"/>
    <n v="866"/>
    <n v="74"/>
    <n v="204121"/>
    <n v="9.34"/>
    <n v="7797"/>
    <n v="3.8800515380583087E-3"/>
  </r>
  <r>
    <x v="1"/>
    <n v="547"/>
    <n v="183"/>
    <n v="266350"/>
    <n v="5.65"/>
    <n v="15595"/>
    <n v="1.3666228646517741E-3"/>
  </r>
  <r>
    <x v="2"/>
    <n v="1241"/>
    <n v="116"/>
    <n v="380606"/>
    <n v="4.2"/>
    <n v="24617"/>
    <n v="2.9558125725816196E-3"/>
  </r>
  <r>
    <x v="0"/>
    <n v="973"/>
    <n v="104"/>
    <n v="376358"/>
    <n v="3.87"/>
    <n v="9847"/>
    <n v="2.3089717768720206E-3"/>
  </r>
  <r>
    <x v="1"/>
    <n v="611"/>
    <n v="197"/>
    <n v="79423"/>
    <n v="5.82"/>
    <n v="13644"/>
    <n v="5.2125958475504573E-3"/>
  </r>
  <r>
    <x v="2"/>
    <n v="983"/>
    <n v="134"/>
    <n v="352178"/>
    <n v="3.55"/>
    <n v="11421"/>
    <n v="2.4107127645679174E-3"/>
  </r>
  <r>
    <x v="0"/>
    <n v="1449"/>
    <n v="96"/>
    <n v="200636"/>
    <n v="9.92"/>
    <n v="15613"/>
    <n v="6.7435554935305723E-3"/>
  </r>
  <r>
    <x v="1"/>
    <n v="752"/>
    <n v="170"/>
    <n v="132756"/>
    <n v="8.17"/>
    <n v="23900"/>
    <n v="4.3839826448522105E-3"/>
  </r>
  <r>
    <x v="2"/>
    <n v="937"/>
    <n v="179"/>
    <n v="318098"/>
    <n v="5.3"/>
    <n v="5836"/>
    <n v="2.3829134417695176E-3"/>
  </r>
  <r>
    <x v="0"/>
    <n v="1060"/>
    <n v="83"/>
    <n v="68724"/>
    <n v="5.98"/>
    <n v="5624"/>
    <n v="1.4216285431581398E-2"/>
  </r>
  <r>
    <x v="1"/>
    <n v="1456"/>
    <n v="265"/>
    <n v="115505"/>
    <n v="7.49"/>
    <n v="10311"/>
    <n v="1.031124193757846E-2"/>
  </r>
  <r>
    <x v="2"/>
    <n v="1109"/>
    <n v="205"/>
    <n v="276722"/>
    <n v="9.3800000000000008"/>
    <n v="8274"/>
    <n v="3.2668165162148292E-3"/>
  </r>
  <r>
    <x v="0"/>
    <n v="1002"/>
    <n v="93"/>
    <n v="353538"/>
    <n v="5.84"/>
    <n v="6031"/>
    <n v="2.5711521816608116E-3"/>
  </r>
  <r>
    <x v="1"/>
    <n v="571"/>
    <n v="189"/>
    <n v="61445"/>
    <n v="5.41"/>
    <n v="27829"/>
    <n v="6.2169419806330862E-3"/>
  </r>
  <r>
    <x v="2"/>
    <n v="1240"/>
    <n v="231"/>
    <n v="165035"/>
    <n v="6.05"/>
    <n v="18267"/>
    <n v="6.1138546368952043E-3"/>
  </r>
  <r>
    <x v="0"/>
    <n v="1154"/>
    <n v="132"/>
    <n v="194595"/>
    <n v="7.54"/>
    <n v="26624"/>
    <n v="5.2519335029163131E-3"/>
  </r>
  <r>
    <x v="1"/>
    <n v="537"/>
    <n v="275"/>
    <n v="236238"/>
    <n v="5.87"/>
    <n v="26644"/>
    <n v="1.1090510417460359E-3"/>
  </r>
  <r>
    <x v="2"/>
    <n v="1456"/>
    <n v="290"/>
    <n v="271044"/>
    <n v="7.17"/>
    <n v="13051"/>
    <n v="4.3018845648676966E-3"/>
  </r>
  <r>
    <x v="0"/>
    <n v="721"/>
    <n v="206"/>
    <n v="334887"/>
    <n v="6.05"/>
    <n v="14217"/>
    <n v="1.5378321642822803E-3"/>
  </r>
  <r>
    <x v="1"/>
    <n v="1098"/>
    <n v="142"/>
    <n v="359150"/>
    <n v="7.51"/>
    <n v="16385"/>
    <n v="2.6618404566337186E-3"/>
  </r>
  <r>
    <x v="2"/>
    <n v="1096"/>
    <n v="65"/>
    <n v="358295"/>
    <n v="7.66"/>
    <n v="24548"/>
    <n v="2.8775171297394605E-3"/>
  </r>
  <r>
    <x v="0"/>
    <n v="912"/>
    <n v="275"/>
    <n v="368454"/>
    <n v="6.03"/>
    <n v="9195"/>
    <n v="1.7288453918263881E-3"/>
  </r>
  <r>
    <x v="1"/>
    <n v="1430"/>
    <n v="162"/>
    <n v="269082"/>
    <n v="3.4"/>
    <n v="18071"/>
    <n v="4.7123181781018424E-3"/>
  </r>
  <r>
    <x v="2"/>
    <n v="854"/>
    <n v="129"/>
    <n v="310903"/>
    <n v="7.83"/>
    <n v="16875"/>
    <n v="2.3319170287838973E-3"/>
  </r>
  <r>
    <x v="0"/>
    <n v="681"/>
    <n v="210"/>
    <n v="248581"/>
    <n v="8.76"/>
    <n v="9567"/>
    <n v="1.8947546272643525E-3"/>
  </r>
  <r>
    <x v="1"/>
    <n v="1373"/>
    <n v="82"/>
    <n v="371015"/>
    <n v="9.52"/>
    <n v="20306"/>
    <n v="3.4796436801746559E-3"/>
  </r>
  <r>
    <x v="2"/>
    <n v="685"/>
    <n v="285"/>
    <n v="177452"/>
    <n v="3.36"/>
    <n v="21134"/>
    <n v="2.2541306944976669E-3"/>
  </r>
  <r>
    <x v="0"/>
    <n v="1290"/>
    <n v="177"/>
    <n v="80745"/>
    <n v="9.2200000000000006"/>
    <n v="26872"/>
    <n v="1.3784135240572171E-2"/>
  </r>
  <r>
    <x v="1"/>
    <n v="1437"/>
    <n v="239"/>
    <n v="362441"/>
    <n v="5.57"/>
    <n v="10253"/>
    <n v="3.305365562946797E-3"/>
  </r>
  <r>
    <x v="2"/>
    <n v="769"/>
    <n v="295"/>
    <n v="344771"/>
    <n v="8.06"/>
    <n v="23963"/>
    <n v="1.3748256088824177E-3"/>
  </r>
  <r>
    <x v="0"/>
    <n v="1416"/>
    <n v="284"/>
    <n v="374952"/>
    <n v="3.45"/>
    <n v="11335"/>
    <n v="3.0190531054641659E-3"/>
  </r>
  <r>
    <x v="1"/>
    <n v="998"/>
    <n v="154"/>
    <n v="179781"/>
    <n v="9.58"/>
    <n v="12115"/>
    <n v="4.6946006530167259E-3"/>
  </r>
  <r>
    <x v="2"/>
    <n v="1421"/>
    <n v="246"/>
    <n v="358581"/>
    <n v="8.8800000000000008"/>
    <n v="24358"/>
    <n v="3.2768049617799048E-3"/>
  </r>
  <r>
    <x v="0"/>
    <n v="764"/>
    <n v="205"/>
    <n v="319294"/>
    <n v="6.23"/>
    <n v="12181"/>
    <n v="1.7507375647522346E-3"/>
  </r>
  <r>
    <x v="1"/>
    <n v="678"/>
    <n v="124"/>
    <n v="192022"/>
    <n v="8.4499999999999993"/>
    <n v="17729"/>
    <n v="2.8850860838862216E-3"/>
  </r>
  <r>
    <x v="2"/>
    <n v="1328"/>
    <n v="103"/>
    <n v="151462"/>
    <n v="8.4"/>
    <n v="10881"/>
    <n v="8.0878372132944243E-3"/>
  </r>
  <r>
    <x v="0"/>
    <n v="1161"/>
    <n v="269"/>
    <n v="188193"/>
    <n v="7.34"/>
    <n v="18576"/>
    <n v="4.7398149771776844E-3"/>
  </r>
  <r>
    <x v="1"/>
    <n v="588"/>
    <n v="52"/>
    <n v="292040"/>
    <n v="8.14"/>
    <n v="9383"/>
    <n v="1.8353650184906177E-3"/>
  </r>
  <r>
    <x v="2"/>
    <n v="1457"/>
    <n v="215"/>
    <n v="325325"/>
    <n v="9.58"/>
    <n v="14178"/>
    <n v="3.8177207407976638E-3"/>
  </r>
  <r>
    <x v="0"/>
    <n v="1190"/>
    <n v="242"/>
    <n v="86849"/>
    <n v="8.06"/>
    <n v="21254"/>
    <n v="1.0915497012055407E-2"/>
  </r>
  <r>
    <x v="1"/>
    <n v="886"/>
    <n v="124"/>
    <n v="141161"/>
    <n v="8.19"/>
    <n v="14215"/>
    <n v="5.3980915408646862E-3"/>
  </r>
  <r>
    <x v="2"/>
    <n v="1237"/>
    <n v="155"/>
    <n v="149916"/>
    <n v="4.4800000000000004"/>
    <n v="16921"/>
    <n v="7.2173750633688196E-3"/>
  </r>
  <r>
    <x v="0"/>
    <n v="1435"/>
    <n v="261"/>
    <n v="308533"/>
    <n v="4.5199999999999996"/>
    <n v="25130"/>
    <n v="3.8051035059458792E-3"/>
  </r>
  <r>
    <x v="1"/>
    <n v="746"/>
    <n v="282"/>
    <n v="293894"/>
    <n v="5.42"/>
    <n v="25537"/>
    <n v="1.5788005199153436E-3"/>
  </r>
  <r>
    <x v="2"/>
    <n v="759"/>
    <n v="216"/>
    <n v="147656"/>
    <n v="4.08"/>
    <n v="24943"/>
    <n v="3.6774665438586984E-3"/>
  </r>
  <r>
    <x v="0"/>
    <n v="1437"/>
    <n v="235"/>
    <n v="326791"/>
    <n v="4.0599999999999996"/>
    <n v="14563"/>
    <n v="3.6781918718691762E-3"/>
  </r>
  <r>
    <x v="1"/>
    <n v="1463"/>
    <n v="73"/>
    <n v="348877"/>
    <n v="9.91"/>
    <n v="26273"/>
    <n v="3.9842122008616216E-3"/>
  </r>
  <r>
    <x v="2"/>
    <n v="1208"/>
    <n v="224"/>
    <n v="122730"/>
    <n v="8.7200000000000006"/>
    <n v="10858"/>
    <n v="8.0175996088975802E-3"/>
  </r>
  <r>
    <x v="0"/>
    <n v="1391"/>
    <n v="187"/>
    <n v="306508"/>
    <n v="8.3800000000000008"/>
    <n v="25038"/>
    <n v="3.9281193313061976E-3"/>
  </r>
  <r>
    <x v="1"/>
    <n v="655"/>
    <n v="123"/>
    <n v="202472"/>
    <n v="7.56"/>
    <n v="9092"/>
    <n v="2.6275238057607967E-3"/>
  </r>
  <r>
    <x v="2"/>
    <n v="1148"/>
    <n v="90"/>
    <n v="227249"/>
    <n v="7.24"/>
    <n v="17662"/>
    <n v="4.6556860536239985E-3"/>
  </r>
  <r>
    <x v="0"/>
    <n v="946"/>
    <n v="270"/>
    <n v="246567"/>
    <n v="4.53"/>
    <n v="5924"/>
    <n v="2.741648314656868E-3"/>
  </r>
  <r>
    <x v="1"/>
    <n v="791"/>
    <n v="214"/>
    <n v="114738"/>
    <n v="6.62"/>
    <n v="25347"/>
    <n v="5.0288483327232481E-3"/>
  </r>
  <r>
    <x v="2"/>
    <n v="793"/>
    <n v="111"/>
    <n v="333500"/>
    <n v="6.36"/>
    <n v="8910"/>
    <n v="2.0449775112443779E-3"/>
  </r>
  <r>
    <x v="0"/>
    <n v="663"/>
    <n v="213"/>
    <n v="352677"/>
    <n v="9"/>
    <n v="20438"/>
    <n v="1.2759550523566889E-3"/>
  </r>
  <r>
    <x v="1"/>
    <n v="954"/>
    <n v="271"/>
    <n v="160936"/>
    <n v="8.83"/>
    <n v="8760"/>
    <n v="4.2439230501565839E-3"/>
  </r>
  <r>
    <x v="2"/>
    <n v="1313"/>
    <n v="159"/>
    <n v="197183"/>
    <n v="9.7100000000000009"/>
    <n v="6625"/>
    <n v="5.8524314976443207E-3"/>
  </r>
  <r>
    <x v="0"/>
    <n v="895"/>
    <n v="87"/>
    <n v="171271"/>
    <n v="6.68"/>
    <n v="23329"/>
    <n v="4.7176696580273365E-3"/>
  </r>
  <r>
    <x v="1"/>
    <n v="1027"/>
    <n v="156"/>
    <n v="111293"/>
    <n v="5.51"/>
    <n v="7299"/>
    <n v="7.8261885293774095E-3"/>
  </r>
  <r>
    <x v="2"/>
    <n v="990"/>
    <n v="286"/>
    <n v="351493"/>
    <n v="7.97"/>
    <n v="14496"/>
    <n v="2.0028848369668811E-3"/>
  </r>
  <r>
    <x v="0"/>
    <n v="875"/>
    <n v="264"/>
    <n v="345631"/>
    <n v="9.18"/>
    <n v="25703"/>
    <n v="1.7677812464738406E-3"/>
  </r>
  <r>
    <x v="1"/>
    <n v="599"/>
    <n v="194"/>
    <n v="105622"/>
    <n v="6.44"/>
    <n v="15108"/>
    <n v="3.8344284334702996E-3"/>
  </r>
  <r>
    <x v="2"/>
    <n v="630"/>
    <n v="248"/>
    <n v="119054"/>
    <n v="5.0199999999999996"/>
    <n v="18867"/>
    <n v="3.2086280175382597E-3"/>
  </r>
  <r>
    <x v="0"/>
    <n v="1350"/>
    <n v="233"/>
    <n v="171670"/>
    <n v="4.53"/>
    <n v="17574"/>
    <n v="6.506669773402458E-3"/>
  </r>
  <r>
    <x v="1"/>
    <n v="632"/>
    <n v="155"/>
    <n v="170432"/>
    <n v="9.17"/>
    <n v="12840"/>
    <n v="2.7987701840030041E-3"/>
  </r>
  <r>
    <x v="2"/>
    <n v="1182"/>
    <n v="83"/>
    <n v="140300"/>
    <n v="3.27"/>
    <n v="21079"/>
    <n v="7.8332145402708487E-3"/>
  </r>
  <r>
    <x v="0"/>
    <n v="661"/>
    <n v="94"/>
    <n v="116538"/>
    <n v="5.31"/>
    <n v="23486"/>
    <n v="4.8653658034289241E-3"/>
  </r>
  <r>
    <x v="1"/>
    <n v="1360"/>
    <n v="227"/>
    <n v="176902"/>
    <n v="6.03"/>
    <n v="5960"/>
    <n v="6.4046760353189906E-3"/>
  </r>
  <r>
    <x v="2"/>
    <n v="935"/>
    <n v="85"/>
    <n v="326821"/>
    <n v="8.89"/>
    <n v="13301"/>
    <n v="2.60081206532016E-3"/>
  </r>
  <r>
    <x v="0"/>
    <n v="664"/>
    <n v="251"/>
    <n v="240598"/>
    <n v="4.79"/>
    <n v="10563"/>
    <n v="1.7165562473503519E-3"/>
  </r>
  <r>
    <x v="1"/>
    <n v="1490"/>
    <n v="103"/>
    <n v="373274"/>
    <n v="4.8"/>
    <n v="19949"/>
    <n v="3.7157691133055076E-3"/>
  </r>
  <r>
    <x v="2"/>
    <n v="601"/>
    <n v="64"/>
    <n v="123272"/>
    <n v="4.07"/>
    <n v="14273"/>
    <n v="4.3562203906807708E-3"/>
  </r>
  <r>
    <x v="0"/>
    <n v="613"/>
    <n v="170"/>
    <n v="139266"/>
    <n v="6.06"/>
    <n v="9247"/>
    <n v="3.1809630491290049E-3"/>
  </r>
  <r>
    <x v="1"/>
    <n v="1340"/>
    <n v="57"/>
    <n v="155927"/>
    <n v="7.79"/>
    <n v="11972"/>
    <n v="8.2282093543773697E-3"/>
  </r>
  <r>
    <x v="2"/>
    <n v="953"/>
    <n v="228"/>
    <n v="258398"/>
    <n v="9.0500000000000007"/>
    <n v="13314"/>
    <n v="2.8057492705051896E-3"/>
  </r>
  <r>
    <x v="0"/>
    <n v="532"/>
    <n v="65"/>
    <n v="338561"/>
    <n v="3.5"/>
    <n v="14749"/>
    <n v="1.3793673813581599E-3"/>
  </r>
  <r>
    <x v="1"/>
    <n v="1414"/>
    <n v="60"/>
    <n v="341856"/>
    <n v="8.76"/>
    <n v="6868"/>
    <n v="3.960732004118693E-3"/>
  </r>
  <r>
    <x v="2"/>
    <n v="685"/>
    <n v="165"/>
    <n v="175860"/>
    <n v="6.26"/>
    <n v="6027"/>
    <n v="2.9568975321278288E-3"/>
  </r>
  <r>
    <x v="0"/>
    <n v="601"/>
    <n v="159"/>
    <n v="327722"/>
    <n v="3.33"/>
    <n v="25267"/>
    <n v="1.3487040845594743E-3"/>
  </r>
  <r>
    <x v="1"/>
    <n v="841"/>
    <n v="295"/>
    <n v="271638"/>
    <n v="9.15"/>
    <n v="5900"/>
    <n v="2.0100280520398473E-3"/>
  </r>
  <r>
    <x v="2"/>
    <n v="1105"/>
    <n v="261"/>
    <n v="333851"/>
    <n v="6.03"/>
    <n v="11181"/>
    <n v="2.5280739012313877E-3"/>
  </r>
  <r>
    <x v="0"/>
    <n v="566"/>
    <n v="225"/>
    <n v="368984"/>
    <n v="9.82"/>
    <n v="9592"/>
    <n v="9.2415931314094918E-4"/>
  </r>
  <r>
    <x v="1"/>
    <n v="1149"/>
    <n v="280"/>
    <n v="167310"/>
    <n v="3.7"/>
    <n v="5291"/>
    <n v="5.1939513477975013E-3"/>
  </r>
  <r>
    <x v="2"/>
    <n v="819"/>
    <n v="101"/>
    <n v="194811"/>
    <n v="3.35"/>
    <n v="22244"/>
    <n v="3.685623501752981E-3"/>
  </r>
  <r>
    <x v="0"/>
    <n v="795"/>
    <n v="60"/>
    <n v="314982"/>
    <n v="7.31"/>
    <n v="6824"/>
    <n v="2.3334666742861497E-3"/>
  </r>
  <r>
    <x v="1"/>
    <n v="681"/>
    <n v="158"/>
    <n v="75960"/>
    <n v="3.13"/>
    <n v="24112"/>
    <n v="6.8852027382833069E-3"/>
  </r>
  <r>
    <x v="2"/>
    <n v="534"/>
    <n v="112"/>
    <n v="360759"/>
    <n v="4.8899999999999997"/>
    <n v="25478"/>
    <n v="1.1697559866836308E-3"/>
  </r>
  <r>
    <x v="0"/>
    <n v="1066"/>
    <n v="151"/>
    <n v="297090"/>
    <n v="8.6300000000000008"/>
    <n v="11235"/>
    <n v="3.0798747854185599E-3"/>
  </r>
  <r>
    <x v="1"/>
    <n v="1270"/>
    <n v="162"/>
    <n v="92040"/>
    <n v="8.0299999999999994"/>
    <n v="6120"/>
    <n v="1.2038244241634072E-2"/>
  </r>
  <r>
    <x v="2"/>
    <n v="536"/>
    <n v="198"/>
    <n v="174610"/>
    <n v="7.85"/>
    <n v="20572"/>
    <n v="1.9357425118836263E-3"/>
  </r>
  <r>
    <x v="0"/>
    <n v="819"/>
    <n v="95"/>
    <n v="177376"/>
    <n v="6.12"/>
    <n v="14975"/>
    <n v="4.0817246978170664E-3"/>
  </r>
  <r>
    <x v="1"/>
    <n v="681"/>
    <n v="218"/>
    <n v="198882"/>
    <n v="7.16"/>
    <n v="22234"/>
    <n v="2.3280135960016494E-3"/>
  </r>
  <r>
    <x v="2"/>
    <n v="646"/>
    <n v="290"/>
    <n v="336383"/>
    <n v="7.04"/>
    <n v="6532"/>
    <n v="1.0583174536168594E-3"/>
  </r>
  <r>
    <x v="0"/>
    <n v="645"/>
    <n v="267"/>
    <n v="346890"/>
    <n v="3.71"/>
    <n v="24858"/>
    <n v="1.0896826083196401E-3"/>
  </r>
  <r>
    <x v="1"/>
    <n v="886"/>
    <n v="250"/>
    <n v="168170"/>
    <n v="4.12"/>
    <n v="13883"/>
    <n v="3.7818873758696555E-3"/>
  </r>
  <r>
    <x v="2"/>
    <n v="978"/>
    <n v="279"/>
    <n v="368872"/>
    <n v="6.82"/>
    <n v="18654"/>
    <n v="1.8949662755644234E-3"/>
  </r>
  <r>
    <x v="0"/>
    <n v="1444"/>
    <n v="165"/>
    <n v="116436"/>
    <n v="8.2200000000000006"/>
    <n v="25234"/>
    <n v="1.0984575217286749E-2"/>
  </r>
  <r>
    <x v="1"/>
    <n v="1234"/>
    <n v="228"/>
    <n v="127502"/>
    <n v="7.71"/>
    <n v="6772"/>
    <n v="7.8900723125911749E-3"/>
  </r>
  <r>
    <x v="2"/>
    <n v="665"/>
    <n v="187"/>
    <n v="274567"/>
    <n v="7.39"/>
    <n v="22428"/>
    <n v="1.7409229805475531E-3"/>
  </r>
  <r>
    <x v="0"/>
    <n v="631"/>
    <n v="86"/>
    <n v="295090"/>
    <n v="7.89"/>
    <n v="11911"/>
    <n v="1.8468941678809856E-3"/>
  </r>
  <r>
    <x v="1"/>
    <n v="1159"/>
    <n v="154"/>
    <n v="194994"/>
    <n v="6.39"/>
    <n v="21900"/>
    <n v="5.1540047386073422E-3"/>
  </r>
  <r>
    <x v="2"/>
    <n v="950"/>
    <n v="185"/>
    <n v="340750"/>
    <n v="6.77"/>
    <n v="25542"/>
    <n v="2.2450476889214967E-3"/>
  </r>
  <r>
    <x v="0"/>
    <n v="693"/>
    <n v="129"/>
    <n v="296031"/>
    <n v="3.41"/>
    <n v="7140"/>
    <n v="1.9052058737091724E-3"/>
  </r>
  <r>
    <x v="1"/>
    <n v="576"/>
    <n v="80"/>
    <n v="345688"/>
    <n v="4.1100000000000003"/>
    <n v="20474"/>
    <n v="1.4348198375413667E-3"/>
  </r>
  <r>
    <x v="2"/>
    <n v="1274"/>
    <n v="146"/>
    <n v="263488"/>
    <n v="9.58"/>
    <n v="8698"/>
    <n v="4.2810298761233904E-3"/>
  </r>
  <r>
    <x v="0"/>
    <n v="818"/>
    <n v="253"/>
    <n v="184911"/>
    <n v="3.39"/>
    <n v="10402"/>
    <n v="3.0555240088474996E-3"/>
  </r>
  <r>
    <x v="1"/>
    <n v="975"/>
    <n v="162"/>
    <n v="124497"/>
    <n v="9.58"/>
    <n v="26618"/>
    <n v="6.5302778380201933E-3"/>
  </r>
  <r>
    <x v="2"/>
    <n v="1398"/>
    <n v="97"/>
    <n v="397607"/>
    <n v="5.09"/>
    <n v="7975"/>
    <n v="3.2720751898231166E-3"/>
  </r>
  <r>
    <x v="0"/>
    <n v="591"/>
    <n v="155"/>
    <n v="138521"/>
    <n v="7.85"/>
    <n v="19054"/>
    <n v="3.1475371965261584E-3"/>
  </r>
  <r>
    <x v="1"/>
    <n v="1232"/>
    <n v="254"/>
    <n v="107718"/>
    <n v="9.7100000000000009"/>
    <n v="13740"/>
    <n v="9.0792625187990864E-3"/>
  </r>
  <r>
    <x v="2"/>
    <n v="1425"/>
    <n v="58"/>
    <n v="202234"/>
    <n v="6.67"/>
    <n v="18442"/>
    <n v="6.7594964249334932E-3"/>
  </r>
  <r>
    <x v="0"/>
    <n v="1417"/>
    <n v="80"/>
    <n v="340987"/>
    <n v="6.13"/>
    <n v="10104"/>
    <n v="3.9209705941868752E-3"/>
  </r>
  <r>
    <x v="1"/>
    <n v="1222"/>
    <n v="208"/>
    <n v="340098"/>
    <n v="7.34"/>
    <n v="21771"/>
    <n v="2.9814935695005556E-3"/>
  </r>
  <r>
    <x v="2"/>
    <n v="1071"/>
    <n v="131"/>
    <n v="254727"/>
    <n v="6.87"/>
    <n v="22191"/>
    <n v="3.6902252215116576E-3"/>
  </r>
  <r>
    <x v="0"/>
    <n v="772"/>
    <n v="82"/>
    <n v="345659"/>
    <n v="3.52"/>
    <n v="27753"/>
    <n v="1.9961869935398759E-3"/>
  </r>
  <r>
    <x v="1"/>
    <n v="1472"/>
    <n v="137"/>
    <n v="213950"/>
    <n v="6.96"/>
    <n v="23736"/>
    <n v="6.2397756485160086E-3"/>
  </r>
  <r>
    <x v="2"/>
    <n v="1472"/>
    <n v="281"/>
    <n v="258115"/>
    <n v="7.23"/>
    <n v="27393"/>
    <n v="4.6142223427541986E-3"/>
  </r>
  <r>
    <x v="0"/>
    <n v="585"/>
    <n v="232"/>
    <n v="321258"/>
    <n v="7.42"/>
    <n v="10343"/>
    <n v="1.0988053215795403E-3"/>
  </r>
  <r>
    <x v="1"/>
    <n v="747"/>
    <n v="261"/>
    <n v="338650"/>
    <n v="7.73"/>
    <n v="25259"/>
    <n v="1.4351099955706482E-3"/>
  </r>
  <r>
    <x v="2"/>
    <n v="1113"/>
    <n v="224"/>
    <n v="272989"/>
    <n v="5.13"/>
    <n v="24827"/>
    <n v="3.2565414723670183E-3"/>
  </r>
  <r>
    <x v="0"/>
    <n v="1100"/>
    <n v="117"/>
    <n v="260204"/>
    <n v="4.4000000000000004"/>
    <n v="11908"/>
    <n v="3.7778051067623862E-3"/>
  </r>
  <r>
    <x v="1"/>
    <n v="751"/>
    <n v="170"/>
    <n v="283278"/>
    <n v="3.49"/>
    <n v="11005"/>
    <n v="2.0509887813384732E-3"/>
  </r>
  <r>
    <x v="2"/>
    <n v="864"/>
    <n v="50"/>
    <n v="277445"/>
    <n v="3.57"/>
    <n v="26333"/>
    <n v="2.9339148299662998E-3"/>
  </r>
  <r>
    <x v="0"/>
    <n v="1146"/>
    <n v="227"/>
    <n v="353781"/>
    <n v="6.41"/>
    <n v="5495"/>
    <n v="2.5976522198761379E-3"/>
  </r>
  <r>
    <x v="1"/>
    <n v="883"/>
    <n v="207"/>
    <n v="265019"/>
    <n v="6.04"/>
    <n v="15655"/>
    <n v="2.5507605115104954E-3"/>
  </r>
  <r>
    <x v="2"/>
    <n v="622"/>
    <n v="163"/>
    <n v="231925"/>
    <n v="9.18"/>
    <n v="13763"/>
    <n v="1.9790880672631238E-3"/>
  </r>
  <r>
    <x v="0"/>
    <n v="837"/>
    <n v="261"/>
    <n v="366149"/>
    <n v="6.54"/>
    <n v="26073"/>
    <n v="1.5731300645365684E-3"/>
  </r>
  <r>
    <x v="1"/>
    <n v="544"/>
    <n v="97"/>
    <n v="168375"/>
    <n v="8.66"/>
    <n v="12774"/>
    <n v="2.6547884187082403E-3"/>
  </r>
  <r>
    <x v="2"/>
    <n v="624"/>
    <n v="247"/>
    <n v="252763"/>
    <n v="3.89"/>
    <n v="19000"/>
    <n v="1.4915157677349929E-3"/>
  </r>
  <r>
    <x v="0"/>
    <n v="1073"/>
    <n v="141"/>
    <n v="118393"/>
    <n v="7.95"/>
    <n v="14051"/>
    <n v="7.872087032172511E-3"/>
  </r>
  <r>
    <x v="1"/>
    <n v="1430"/>
    <n v="74"/>
    <n v="327012"/>
    <n v="6.66"/>
    <n v="27782"/>
    <n v="4.1466368206671319E-3"/>
  </r>
  <r>
    <x v="2"/>
    <n v="1358"/>
    <n v="77"/>
    <n v="169688"/>
    <n v="5.25"/>
    <n v="7859"/>
    <n v="7.5491490264485411E-3"/>
  </r>
  <r>
    <x v="0"/>
    <n v="1242"/>
    <n v="201"/>
    <n v="271935"/>
    <n v="5.07"/>
    <n v="15773"/>
    <n v="3.8281206906062111E-3"/>
  </r>
  <r>
    <x v="1"/>
    <n v="1389"/>
    <n v="205"/>
    <n v="315981"/>
    <n v="7.62"/>
    <n v="20595"/>
    <n v="3.7470607409939207E-3"/>
  </r>
  <r>
    <x v="2"/>
    <n v="826"/>
    <n v="142"/>
    <n v="341016"/>
    <n v="7.44"/>
    <n v="12031"/>
    <n v="2.005770990217468E-3"/>
  </r>
  <r>
    <x v="0"/>
    <n v="618"/>
    <n v="264"/>
    <n v="285164"/>
    <n v="4.8600000000000003"/>
    <n v="15128"/>
    <n v="1.2413909189098204E-3"/>
  </r>
  <r>
    <x v="1"/>
    <n v="1419"/>
    <n v="293"/>
    <n v="116632"/>
    <n v="6.93"/>
    <n v="11826"/>
    <n v="9.6542972769051369E-3"/>
  </r>
  <r>
    <x v="2"/>
    <n v="637"/>
    <n v="68"/>
    <n v="115694"/>
    <n v="9.99"/>
    <n v="12562"/>
    <n v="4.9181461441388493E-3"/>
  </r>
  <r>
    <x v="0"/>
    <n v="917"/>
    <n v="187"/>
    <n v="64444"/>
    <n v="5.22"/>
    <n v="13013"/>
    <n v="1.1327664328719508E-2"/>
  </r>
  <r>
    <x v="1"/>
    <n v="810"/>
    <n v="232"/>
    <n v="362559"/>
    <n v="5.17"/>
    <n v="12937"/>
    <n v="1.5942232850377457E-3"/>
  </r>
  <r>
    <x v="2"/>
    <n v="1183"/>
    <n v="248"/>
    <n v="226881"/>
    <n v="5.17"/>
    <n v="14534"/>
    <n v="4.1211031333606603E-3"/>
  </r>
  <r>
    <x v="0"/>
    <n v="765"/>
    <n v="67"/>
    <n v="283537"/>
    <n v="6.18"/>
    <n v="8182"/>
    <n v="2.4617598408673293E-3"/>
  </r>
  <r>
    <x v="1"/>
    <n v="540"/>
    <n v="215"/>
    <n v="62837"/>
    <n v="5.3"/>
    <n v="10615"/>
    <n v="5.1721119722456512E-3"/>
  </r>
  <r>
    <x v="2"/>
    <n v="1145"/>
    <n v="151"/>
    <n v="182759"/>
    <n v="5.99"/>
    <n v="20109"/>
    <n v="5.4388566363352828E-3"/>
  </r>
  <r>
    <x v="0"/>
    <n v="564"/>
    <n v="244"/>
    <n v="279405"/>
    <n v="8.43"/>
    <n v="26024"/>
    <n v="1.1452908859898713E-3"/>
  </r>
  <r>
    <x v="1"/>
    <n v="668"/>
    <n v="124"/>
    <n v="257485"/>
    <n v="7.55"/>
    <n v="26730"/>
    <n v="2.1127444317144686E-3"/>
  </r>
  <r>
    <x v="2"/>
    <n v="761"/>
    <n v="241"/>
    <n v="154977"/>
    <n v="5.63"/>
    <n v="10563"/>
    <n v="3.3553365983339462E-3"/>
  </r>
  <r>
    <x v="0"/>
    <n v="593"/>
    <n v="108"/>
    <n v="216500"/>
    <n v="4.71"/>
    <n v="27575"/>
    <n v="2.2401847575057735E-3"/>
  </r>
  <r>
    <x v="1"/>
    <n v="1349"/>
    <n v="115"/>
    <n v="102102"/>
    <n v="5.28"/>
    <n v="14479"/>
    <n v="1.208595326242385E-2"/>
  </r>
  <r>
    <x v="2"/>
    <n v="693"/>
    <n v="97"/>
    <n v="92025"/>
    <n v="5.95"/>
    <n v="15915"/>
    <n v="6.4765009508285796E-3"/>
  </r>
  <r>
    <x v="0"/>
    <n v="974"/>
    <n v="143"/>
    <n v="247965"/>
    <n v="9.98"/>
    <n v="12767"/>
    <n v="3.3512794144334888E-3"/>
  </r>
  <r>
    <x v="1"/>
    <n v="1155"/>
    <n v="122"/>
    <n v="387352"/>
    <n v="9.93"/>
    <n v="12170"/>
    <n v="2.6668250067122413E-3"/>
  </r>
  <r>
    <x v="2"/>
    <n v="1051"/>
    <n v="246"/>
    <n v="253985"/>
    <n v="9.08"/>
    <n v="7245"/>
    <n v="3.1694785125105812E-3"/>
  </r>
  <r>
    <x v="0"/>
    <n v="1457"/>
    <n v="183"/>
    <n v="129640"/>
    <n v="7.98"/>
    <n v="12985"/>
    <n v="9.827213822894169E-3"/>
  </r>
  <r>
    <x v="1"/>
    <n v="670"/>
    <n v="242"/>
    <n v="281913"/>
    <n v="9.6199999999999992"/>
    <n v="16377"/>
    <n v="1.5181988769584942E-3"/>
  </r>
  <r>
    <x v="2"/>
    <n v="1111"/>
    <n v="159"/>
    <n v="360770"/>
    <n v="8.7100000000000009"/>
    <n v="11453"/>
    <n v="2.6388003437092886E-3"/>
  </r>
  <r>
    <x v="0"/>
    <n v="1197"/>
    <n v="246"/>
    <n v="127273"/>
    <n v="6.69"/>
    <n v="12323"/>
    <n v="7.4721268454424738E-3"/>
  </r>
  <r>
    <x v="1"/>
    <n v="754"/>
    <n v="150"/>
    <n v="189622"/>
    <n v="4.25"/>
    <n v="11911"/>
    <n v="3.1852844079273504E-3"/>
  </r>
  <r>
    <x v="2"/>
    <n v="1246"/>
    <n v="107"/>
    <n v="350949"/>
    <n v="4.9800000000000004"/>
    <n v="27809"/>
    <n v="3.2454858113287115E-3"/>
  </r>
  <r>
    <x v="0"/>
    <n v="780"/>
    <n v="213"/>
    <n v="121431"/>
    <n v="4.97"/>
    <n v="21464"/>
    <n v="4.669318378338316E-3"/>
  </r>
  <r>
    <x v="1"/>
    <n v="1425"/>
    <n v="143"/>
    <n v="116742"/>
    <n v="3.71"/>
    <n v="27126"/>
    <n v="1.0981480529715098E-2"/>
  </r>
  <r>
    <x v="2"/>
    <n v="1490"/>
    <n v="103"/>
    <n v="81184"/>
    <n v="7.79"/>
    <n v="10681"/>
    <n v="1.7084647221127316E-2"/>
  </r>
  <r>
    <x v="0"/>
    <n v="949"/>
    <n v="282"/>
    <n v="87126"/>
    <n v="4.96"/>
    <n v="5413"/>
    <n v="7.6555792759910937E-3"/>
  </r>
  <r>
    <x v="1"/>
    <n v="640"/>
    <n v="141"/>
    <n v="267546"/>
    <n v="8.58"/>
    <n v="25058"/>
    <n v="1.8650998332996943E-3"/>
  </r>
  <r>
    <x v="2"/>
    <n v="616"/>
    <n v="93"/>
    <n v="133082"/>
    <n v="8.51"/>
    <n v="18303"/>
    <n v="3.9299078763469142E-3"/>
  </r>
  <r>
    <x v="0"/>
    <n v="1080"/>
    <n v="184"/>
    <n v="340557"/>
    <n v="5.41"/>
    <n v="5526"/>
    <n v="2.6309839468870114E-3"/>
  </r>
  <r>
    <x v="1"/>
    <n v="938"/>
    <n v="236"/>
    <n v="116472"/>
    <n v="8.7200000000000006"/>
    <n v="17460"/>
    <n v="6.0271996703070265E-3"/>
  </r>
  <r>
    <x v="2"/>
    <n v="1007"/>
    <n v="258"/>
    <n v="113412"/>
    <n v="7.71"/>
    <n v="14475"/>
    <n v="6.6042394102916796E-3"/>
  </r>
  <r>
    <x v="0"/>
    <n v="541"/>
    <n v="208"/>
    <n v="157547"/>
    <n v="8.35"/>
    <n v="20162"/>
    <n v="2.1136549728017671E-3"/>
  </r>
  <r>
    <x v="1"/>
    <n v="745"/>
    <n v="98"/>
    <n v="354816"/>
    <n v="4.03"/>
    <n v="17103"/>
    <n v="1.823480339105339E-3"/>
  </r>
  <r>
    <x v="2"/>
    <n v="936"/>
    <n v="97"/>
    <n v="151799"/>
    <n v="9.3699999999999992"/>
    <n v="15461"/>
    <n v="5.5270456327116777E-3"/>
  </r>
  <r>
    <x v="0"/>
    <n v="1183"/>
    <n v="223"/>
    <n v="143811"/>
    <n v="6.07"/>
    <n v="22103"/>
    <n v="6.6754281661347186E-3"/>
  </r>
  <r>
    <x v="1"/>
    <n v="1413"/>
    <n v="245"/>
    <n v="296450"/>
    <n v="6.52"/>
    <n v="11625"/>
    <n v="3.9399561477483558E-3"/>
  </r>
  <r>
    <x v="2"/>
    <n v="791"/>
    <n v="273"/>
    <n v="144049"/>
    <n v="3.08"/>
    <n v="5281"/>
    <n v="3.5959985838152297E-3"/>
  </r>
  <r>
    <x v="0"/>
    <n v="1052"/>
    <n v="180"/>
    <n v="272534"/>
    <n v="5.34"/>
    <n v="13424"/>
    <n v="3.1996007837554212E-3"/>
  </r>
  <r>
    <x v="1"/>
    <n v="572"/>
    <n v="270"/>
    <n v="82265"/>
    <n v="3.65"/>
    <n v="13140"/>
    <n v="3.6710630280192063E-3"/>
  </r>
  <r>
    <x v="2"/>
    <n v="503"/>
    <n v="253"/>
    <n v="313562"/>
    <n v="4.18"/>
    <n v="19538"/>
    <n v="7.9729048800556194E-4"/>
  </r>
  <r>
    <x v="0"/>
    <n v="1017"/>
    <n v="197"/>
    <n v="89918"/>
    <n v="3.91"/>
    <n v="7881"/>
    <n v="9.1194199159233963E-3"/>
  </r>
  <r>
    <x v="1"/>
    <n v="860"/>
    <n v="244"/>
    <n v="348686"/>
    <n v="5.12"/>
    <n v="11418"/>
    <n v="1.7666324429429343E-3"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P001"/>
    <x v="0"/>
    <x v="0"/>
    <x v="0"/>
    <s v="Discover fresh beats on Spotify!"/>
    <n v="2414"/>
    <n v="245"/>
    <n v="137"/>
    <n v="21181"/>
    <n v="45292"/>
    <n v="133"/>
    <x v="0"/>
    <s v="#SoundtrackOfLife"/>
    <s v="#NowPlaying"/>
    <s v="ChillVibes"/>
    <n v="0.13200509890939993"/>
  </r>
  <r>
    <s v="SP002"/>
    <x v="0"/>
    <x v="1"/>
    <x v="0"/>
    <s v="Explore the latest podcasts now."/>
    <n v="1934"/>
    <n v="210"/>
    <n v="393"/>
    <n v="29129"/>
    <n v="73287"/>
    <n v="273"/>
    <x v="1"/>
    <s v="#DiscoverWeekly"/>
    <m/>
    <s v="IndieWave"/>
    <n v="8.7095334546328396E-2"/>
  </r>
  <r>
    <s v="SP003"/>
    <x v="1"/>
    <x v="2"/>
    <x v="1"/>
    <s v="New music just dropped. Hit play!"/>
    <n v="3092"/>
    <n v="177"/>
    <n v="81"/>
    <n v="47533"/>
    <n v="29220"/>
    <n v="121"/>
    <x v="2"/>
    <s v="#MusicForEveryone"/>
    <s v="#NowPlaying"/>
    <s v="ChillVibes"/>
    <n v="7.0477352576105018E-2"/>
  </r>
  <r>
    <s v="SP004"/>
    <x v="0"/>
    <x v="2"/>
    <x v="0"/>
    <s v="Wrapped is here! Relive your top tracks "/>
    <n v="3173"/>
    <n v="229"/>
    <n v="197"/>
    <n v="29604"/>
    <n v="21809"/>
    <n v="272"/>
    <x v="0"/>
    <s v="#SoundtrackOfLife"/>
    <s v="#NowPlaying"/>
    <s v="ChillVibes"/>
    <n v="0.1215714092690177"/>
  </r>
  <r>
    <s v="SP005"/>
    <x v="2"/>
    <x v="3"/>
    <x v="0"/>
    <s v="Music that moves you only on Spotify."/>
    <n v="2748"/>
    <n v="145"/>
    <n v="315"/>
    <n v="24401"/>
    <n v="61182"/>
    <n v="200"/>
    <x v="3"/>
    <s v="#DiscoverWeekly"/>
    <s v="#SpotifyWrapped"/>
    <s v="IndieWave"/>
    <n v="0.1314700217204213"/>
  </r>
  <r>
    <s v="SP006"/>
    <x v="2"/>
    <x v="4"/>
    <x v="0"/>
    <s v="What's your vibe today? #SpotifyHits"/>
    <n v="3882"/>
    <n v="239"/>
    <n v="275"/>
    <n v="58748"/>
    <n v="44646"/>
    <n v="149"/>
    <x v="3"/>
    <s v="#DiscoverWeekly"/>
    <s v="#SpotifyWrapped"/>
    <s v="IndieWave"/>
    <n v="7.4828079253761837E-2"/>
  </r>
  <r>
    <s v="SP007"/>
    <x v="1"/>
    <x v="5"/>
    <x v="1"/>
    <s v="Get into the groove with our new drop!"/>
    <n v="4674"/>
    <n v="409"/>
    <n v="327"/>
    <n v="20756"/>
    <n v="63599"/>
    <n v="212"/>
    <x v="0"/>
    <s v="#SoundtrackOfLife"/>
    <s v="#NowPlaying"/>
    <s v="ChillVibes"/>
    <n v="0.26064752360763155"/>
  </r>
  <r>
    <s v="SP008"/>
    <x v="1"/>
    <x v="6"/>
    <x v="1"/>
    <s v="Wrapped is here! Relive your top tracks "/>
    <n v="1428"/>
    <n v="347"/>
    <n v="67"/>
    <n v="21148"/>
    <n v="19712"/>
    <n v="120"/>
    <x v="4"/>
    <s v="#DiscoverWeekly"/>
    <s v="#MusicForEveryone"/>
    <s v="ChillVibes"/>
    <n v="8.7100435029317191E-2"/>
  </r>
  <r>
    <s v="SP009"/>
    <x v="1"/>
    <x v="7"/>
    <x v="0"/>
    <s v="Top trending tracks updated daily!"/>
    <n v="4432"/>
    <n v="223"/>
    <n v="299"/>
    <n v="59016"/>
    <n v="21742"/>
    <n v="171"/>
    <x v="5"/>
    <s v="#NowPlaying"/>
    <m/>
    <s v="ChillVibes"/>
    <n v="8.3943337400027115E-2"/>
  </r>
  <r>
    <s v="SP010"/>
    <x v="1"/>
    <x v="8"/>
    <x v="0"/>
    <s v="Wrapped is here! Relive your top tracks "/>
    <n v="2357"/>
    <n v="274"/>
    <n v="172"/>
    <n v="21566"/>
    <n v="66829"/>
    <n v="284"/>
    <x v="5"/>
    <s v="#NowPlaying"/>
    <m/>
    <s v="ChillVibes"/>
    <n v="0.12997310581470833"/>
  </r>
  <r>
    <s v="SP011"/>
    <x v="1"/>
    <x v="9"/>
    <x v="0"/>
    <s v="Discover fresh beats on Spotify!"/>
    <n v="1971"/>
    <n v="370"/>
    <n v="306"/>
    <n v="31316"/>
    <n v="27897"/>
    <n v="88"/>
    <x v="6"/>
    <s v="#SoundtrackOfLife"/>
    <m/>
    <s v="IndieWave"/>
    <n v="8.4525482181632389E-2"/>
  </r>
  <r>
    <s v="SP012"/>
    <x v="0"/>
    <x v="10"/>
    <x v="0"/>
    <s v="Discover fresh beats on Spotify!"/>
    <n v="1485"/>
    <n v="353"/>
    <n v="244"/>
    <n v="38419"/>
    <n v="38556"/>
    <n v="86"/>
    <x v="0"/>
    <s v="#SoundtrackOfLife"/>
    <s v="#NowPlaying"/>
    <s v="ChillVibes"/>
    <n v="5.4191936281527367E-2"/>
  </r>
  <r>
    <s v="SP013"/>
    <x v="1"/>
    <x v="11"/>
    <x v="1"/>
    <s v="Discover fresh beats on Spotify!"/>
    <n v="3956"/>
    <n v="319"/>
    <n v="61"/>
    <n v="58162"/>
    <n v="28720"/>
    <n v="213"/>
    <x v="2"/>
    <s v="#MusicForEveryone"/>
    <s v="#NowPlaying"/>
    <s v="ChillVibes"/>
    <n v="7.4550393727863554E-2"/>
  </r>
  <r>
    <s v="SP014"/>
    <x v="1"/>
    <x v="12"/>
    <x v="0"/>
    <s v="From pop to podcasts, its all here."/>
    <n v="2460"/>
    <n v="409"/>
    <n v="253"/>
    <n v="36702"/>
    <n v="46122"/>
    <n v="264"/>
    <x v="5"/>
    <s v="#NowPlaying"/>
    <m/>
    <s v="ChillVibes"/>
    <n v="8.5063484278785892E-2"/>
  </r>
  <r>
    <s v="SP015"/>
    <x v="1"/>
    <x v="13"/>
    <x v="0"/>
    <s v="Your weekend playlist is waiting."/>
    <n v="3476"/>
    <n v="355"/>
    <n v="396"/>
    <n v="37492"/>
    <n v="27285"/>
    <n v="179"/>
    <x v="5"/>
    <s v="#NowPlaying"/>
    <m/>
    <s v="ChillVibes"/>
    <n v="0.11274405206444041"/>
  </r>
  <r>
    <s v="SP016"/>
    <x v="1"/>
    <x v="14"/>
    <x v="1"/>
    <s v="New music just dropped. Hit play!"/>
    <n v="4049"/>
    <n v="377"/>
    <n v="94"/>
    <n v="48182"/>
    <n v="42875"/>
    <n v="172"/>
    <x v="2"/>
    <s v="#MusicForEveryone"/>
    <s v="#NowPlaying"/>
    <s v="ChillVibes"/>
    <n v="9.3810966751068869E-2"/>
  </r>
  <r>
    <s v="SP017"/>
    <x v="1"/>
    <x v="15"/>
    <x v="0"/>
    <s v="What's your vibe today? #SpotifyHits"/>
    <n v="1514"/>
    <n v="164"/>
    <n v="275"/>
    <n v="41364"/>
    <n v="44389"/>
    <n v="83"/>
    <x v="5"/>
    <s v="#NowPlaying"/>
    <m/>
    <s v="ChillVibes"/>
    <n v="4.7214969538729328E-2"/>
  </r>
  <r>
    <s v="SP018"/>
    <x v="0"/>
    <x v="16"/>
    <x v="1"/>
    <s v="Music that moves you only on Spotify."/>
    <n v="4281"/>
    <n v="101"/>
    <n v="163"/>
    <n v="32278"/>
    <n v="53382"/>
    <n v="235"/>
    <x v="5"/>
    <s v="#NowPlaying"/>
    <m/>
    <s v="Wrapped2024"/>
    <n v="0.1408079806679472"/>
  </r>
  <r>
    <s v="SP019"/>
    <x v="2"/>
    <x v="17"/>
    <x v="2"/>
    <s v="Get into the groove with our new drop!"/>
    <n v="1751"/>
    <n v="143"/>
    <n v="151"/>
    <n v="31826"/>
    <n v="47729"/>
    <n v="95"/>
    <x v="7"/>
    <s v="#DiscoverWeekly"/>
    <s v="#SoundtrackOfLife"/>
    <s v="SummerBeats"/>
    <n v="6.4255640042732362E-2"/>
  </r>
  <r>
    <s v="SP020"/>
    <x v="0"/>
    <x v="18"/>
    <x v="0"/>
    <s v="Your weekend playlist is waiting."/>
    <n v="3753"/>
    <n v="411"/>
    <n v="308"/>
    <n v="29138"/>
    <n v="27678"/>
    <n v="90"/>
    <x v="1"/>
    <s v="#DiscoverWeekly"/>
    <m/>
    <s v="IndieWave"/>
    <n v="0.15347655981879332"/>
  </r>
  <r>
    <s v="SP021"/>
    <x v="0"/>
    <x v="19"/>
    <x v="1"/>
    <s v="Wrapped is here! Relive your top tracks "/>
    <n v="1678"/>
    <n v="423"/>
    <n v="323"/>
    <n v="55668"/>
    <n v="37945"/>
    <n v="230"/>
    <x v="5"/>
    <s v="#NowPlaying"/>
    <m/>
    <s v="Wrapped2024"/>
    <n v="4.3543867212761371E-2"/>
  </r>
  <r>
    <s v="SP022"/>
    <x v="0"/>
    <x v="7"/>
    <x v="0"/>
    <s v="What's your vibe today? #SpotifyHits"/>
    <n v="4896"/>
    <n v="466"/>
    <n v="233"/>
    <n v="28621"/>
    <n v="34270"/>
    <n v="84"/>
    <x v="0"/>
    <s v="#SoundtrackOfLife"/>
    <s v="#NowPlaying"/>
    <s v="ChillVibes"/>
    <n v="0.19548583208133888"/>
  </r>
  <r>
    <s v="SP023"/>
    <x v="2"/>
    <x v="20"/>
    <x v="2"/>
    <s v="From pop to podcasts, its all here."/>
    <n v="2786"/>
    <n v="368"/>
    <n v="208"/>
    <n v="42000"/>
    <n v="39967"/>
    <n v="103"/>
    <x v="7"/>
    <s v="#DiscoverWeekly"/>
    <s v="#SoundtrackOfLife"/>
    <s v="SummerBeats"/>
    <n v="8.0047619047619048E-2"/>
  </r>
  <r>
    <s v="SP024"/>
    <x v="1"/>
    <x v="21"/>
    <x v="0"/>
    <s v="New music just dropped. Hit play!"/>
    <n v="2607"/>
    <n v="379"/>
    <n v="180"/>
    <n v="28712"/>
    <n v="61620"/>
    <n v="174"/>
    <x v="6"/>
    <s v="#SoundtrackOfLife"/>
    <m/>
    <s v="IndieWave"/>
    <n v="0.11026748397882419"/>
  </r>
  <r>
    <s v="SP025"/>
    <x v="2"/>
    <x v="22"/>
    <x v="2"/>
    <s v="From pop to podcasts, its all here."/>
    <n v="4013"/>
    <n v="320"/>
    <n v="92"/>
    <n v="54605"/>
    <n v="60169"/>
    <n v="232"/>
    <x v="7"/>
    <s v="#DiscoverWeekly"/>
    <s v="#SoundtrackOfLife"/>
    <s v="SummerBeats"/>
    <n v="8.1036535115831879E-2"/>
  </r>
  <r>
    <s v="SP026"/>
    <x v="1"/>
    <x v="23"/>
    <x v="1"/>
    <s v="From pop to podcasts, its all here."/>
    <n v="2707"/>
    <n v="103"/>
    <n v="51"/>
    <n v="55302"/>
    <n v="18801"/>
    <n v="147"/>
    <x v="4"/>
    <s v="#DiscoverWeekly"/>
    <s v="#MusicForEveryone"/>
    <s v="ChillVibes"/>
    <n v="5.173411449857148E-2"/>
  </r>
  <r>
    <s v="SP027"/>
    <x v="0"/>
    <x v="24"/>
    <x v="0"/>
    <s v="What's your vibe today? #SpotifyHits"/>
    <n v="2824"/>
    <n v="425"/>
    <n v="274"/>
    <n v="31004"/>
    <n v="53488"/>
    <n v="268"/>
    <x v="0"/>
    <s v="#SoundtrackOfLife"/>
    <s v="#NowPlaying"/>
    <s v="ChillVibes"/>
    <n v="0.11363049929041415"/>
  </r>
  <r>
    <s v="SP028"/>
    <x v="2"/>
    <x v="25"/>
    <x v="2"/>
    <s v="Explore the latest podcasts now."/>
    <n v="3558"/>
    <n v="314"/>
    <n v="199"/>
    <n v="49612"/>
    <n v="53929"/>
    <n v="206"/>
    <x v="7"/>
    <s v="#DiscoverWeekly"/>
    <s v="#SoundtrackOfLife"/>
    <s v="SummerBeats"/>
    <n v="8.205676046117874E-2"/>
  </r>
  <r>
    <s v="SP029"/>
    <x v="1"/>
    <x v="26"/>
    <x v="1"/>
    <s v="Explore the latest podcasts now."/>
    <n v="3418"/>
    <n v="188"/>
    <n v="387"/>
    <n v="57431"/>
    <n v="36933"/>
    <n v="202"/>
    <x v="2"/>
    <s v="#MusicForEveryone"/>
    <s v="#NowPlaying"/>
    <s v="ChillVibes"/>
    <n v="6.9526910553533799E-2"/>
  </r>
  <r>
    <s v="SP030"/>
    <x v="1"/>
    <x v="27"/>
    <x v="0"/>
    <s v="Discover fresh beats on Spotify!"/>
    <n v="2411"/>
    <n v="194"/>
    <n v="168"/>
    <n v="26665"/>
    <n v="71699"/>
    <n v="197"/>
    <x v="5"/>
    <s v="#NowPlaying"/>
    <m/>
    <s v="ChillVibes"/>
    <n v="0.10399399962497656"/>
  </r>
  <r>
    <s v="SP031"/>
    <x v="0"/>
    <x v="28"/>
    <x v="0"/>
    <s v="New music just dropped. Hit play!"/>
    <n v="4036"/>
    <n v="112"/>
    <n v="382"/>
    <n v="56284"/>
    <n v="29440"/>
    <n v="279"/>
    <x v="0"/>
    <s v="#SoundtrackOfLife"/>
    <s v="#NowPlaying"/>
    <s v="ChillVibes"/>
    <n v="8.0484684812735408E-2"/>
  </r>
  <r>
    <s v="SP032"/>
    <x v="1"/>
    <x v="29"/>
    <x v="1"/>
    <s v="Explore the latest podcasts now."/>
    <n v="2776"/>
    <n v="307"/>
    <n v="178"/>
    <n v="43365"/>
    <n v="48408"/>
    <n v="138"/>
    <x v="0"/>
    <s v="#SoundtrackOfLife"/>
    <s v="#NowPlaying"/>
    <s v="ChillVibes"/>
    <n v="7.519889311656866E-2"/>
  </r>
  <r>
    <s v="SP033"/>
    <x v="1"/>
    <x v="30"/>
    <x v="1"/>
    <s v="Discover fresh beats on Spotify!"/>
    <n v="4929"/>
    <n v="182"/>
    <n v="95"/>
    <n v="32181"/>
    <n v="31084"/>
    <n v="289"/>
    <x v="4"/>
    <s v="#DiscoverWeekly"/>
    <s v="#MusicForEveryone"/>
    <s v="ChillVibes"/>
    <n v="0.16177247444144061"/>
  </r>
  <r>
    <s v="SP034"/>
    <x v="0"/>
    <x v="31"/>
    <x v="0"/>
    <s v="New music just dropped. Hit play!"/>
    <n v="1015"/>
    <n v="366"/>
    <n v="308"/>
    <n v="38127"/>
    <n v="63790"/>
    <n v="287"/>
    <x v="0"/>
    <s v="#SoundtrackOfLife"/>
    <s v="#NowPlaying"/>
    <s v="ChillVibes"/>
    <n v="4.4299315445747112E-2"/>
  </r>
  <r>
    <s v="SP035"/>
    <x v="1"/>
    <x v="32"/>
    <x v="1"/>
    <s v="Your weekend playlist is waiting."/>
    <n v="3316"/>
    <n v="332"/>
    <n v="268"/>
    <n v="40095"/>
    <n v="36913"/>
    <n v="265"/>
    <x v="2"/>
    <s v="#MusicForEveryone"/>
    <s v="#NowPlaying"/>
    <s v="ChillVibes"/>
    <n v="9.7668038408779148E-2"/>
  </r>
  <r>
    <s v="SP036"/>
    <x v="0"/>
    <x v="33"/>
    <x v="0"/>
    <s v="Wrapped is here! Relive your top tracks "/>
    <n v="2274"/>
    <n v="243"/>
    <n v="222"/>
    <n v="43066"/>
    <n v="59174"/>
    <n v="80"/>
    <x v="1"/>
    <s v="#DiscoverWeekly"/>
    <m/>
    <s v="IndieWave"/>
    <n v="6.3600055728416843E-2"/>
  </r>
  <r>
    <s v="SP037"/>
    <x v="1"/>
    <x v="34"/>
    <x v="1"/>
    <s v="Explore the latest podcasts now."/>
    <n v="4095"/>
    <n v="385"/>
    <n v="400"/>
    <n v="45300"/>
    <n v="31795"/>
    <n v="80"/>
    <x v="2"/>
    <s v="#MusicForEveryone"/>
    <s v="#NowPlaying"/>
    <s v="ChillVibes"/>
    <n v="0.10772626931567329"/>
  </r>
  <r>
    <s v="SP038"/>
    <x v="0"/>
    <x v="35"/>
    <x v="1"/>
    <s v="New music just dropped. Hit play!"/>
    <n v="1230"/>
    <n v="309"/>
    <n v="207"/>
    <n v="44629"/>
    <n v="40699"/>
    <n v="195"/>
    <x v="5"/>
    <s v="#NowPlaying"/>
    <m/>
    <s v="Wrapped2024"/>
    <n v="3.9122543637545096E-2"/>
  </r>
  <r>
    <s v="SP039"/>
    <x v="0"/>
    <x v="36"/>
    <x v="0"/>
    <s v="From pop to podcasts, its all here."/>
    <n v="1341"/>
    <n v="472"/>
    <n v="238"/>
    <n v="51386"/>
    <n v="51706"/>
    <n v="133"/>
    <x v="1"/>
    <s v="#DiscoverWeekly"/>
    <m/>
    <s v="IndieWave"/>
    <n v="3.9913595142645857E-2"/>
  </r>
  <r>
    <s v="SP040"/>
    <x v="1"/>
    <x v="37"/>
    <x v="0"/>
    <s v="Explore the latest podcasts now."/>
    <n v="3615"/>
    <n v="192"/>
    <n v="162"/>
    <n v="27492"/>
    <n v="35341"/>
    <n v="125"/>
    <x v="5"/>
    <s v="#NowPlaying"/>
    <m/>
    <s v="ChillVibes"/>
    <n v="0.14436927106067218"/>
  </r>
  <r>
    <s v="SP041"/>
    <x v="0"/>
    <x v="38"/>
    <x v="0"/>
    <s v="New music just dropped. Hit play!"/>
    <n v="4001"/>
    <n v="353"/>
    <n v="129"/>
    <n v="41265"/>
    <n v="37279"/>
    <n v="275"/>
    <x v="0"/>
    <s v="#SoundtrackOfLife"/>
    <s v="#NowPlaying"/>
    <s v="ChillVibes"/>
    <n v="0.10863928268508422"/>
  </r>
  <r>
    <s v="SP042"/>
    <x v="0"/>
    <x v="39"/>
    <x v="1"/>
    <s v="What's your vibe today? #SpotifyHits"/>
    <n v="3451"/>
    <n v="363"/>
    <n v="393"/>
    <n v="44853"/>
    <n v="69032"/>
    <n v="211"/>
    <x v="5"/>
    <s v="#NowPlaying"/>
    <m/>
    <s v="Wrapped2024"/>
    <n v="9.379528682585335E-2"/>
  </r>
  <r>
    <s v="SP043"/>
    <x v="0"/>
    <x v="40"/>
    <x v="0"/>
    <s v="Top trending tracks updated daily!"/>
    <n v="4891"/>
    <n v="450"/>
    <n v="387"/>
    <n v="48746"/>
    <n v="37312"/>
    <n v="154"/>
    <x v="0"/>
    <s v="#SoundtrackOfLife"/>
    <s v="#NowPlaying"/>
    <s v="ChillVibes"/>
    <n v="0.11750707750379519"/>
  </r>
  <r>
    <s v="SP044"/>
    <x v="0"/>
    <x v="41"/>
    <x v="0"/>
    <s v="New music just dropped. Hit play!"/>
    <n v="1452"/>
    <n v="281"/>
    <n v="326"/>
    <n v="51556"/>
    <n v="62599"/>
    <n v="290"/>
    <x v="1"/>
    <s v="#DiscoverWeekly"/>
    <m/>
    <s v="IndieWave"/>
    <n v="3.9937155714174881E-2"/>
  </r>
  <r>
    <s v="SP045"/>
    <x v="2"/>
    <x v="42"/>
    <x v="0"/>
    <s v="Your weekend playlist is waiting."/>
    <n v="3806"/>
    <n v="114"/>
    <n v="278"/>
    <n v="36148"/>
    <n v="24209"/>
    <n v="201"/>
    <x v="3"/>
    <s v="#DiscoverWeekly"/>
    <s v="#SpotifyWrapped"/>
    <s v="IndieWave"/>
    <n v="0.11613367267898639"/>
  </r>
  <r>
    <s v="SP046"/>
    <x v="0"/>
    <x v="43"/>
    <x v="0"/>
    <s v="Explore the latest podcasts now."/>
    <n v="2923"/>
    <n v="330"/>
    <n v="250"/>
    <n v="23993"/>
    <n v="74590"/>
    <n v="92"/>
    <x v="1"/>
    <s v="#DiscoverWeekly"/>
    <m/>
    <s v="IndieWave"/>
    <n v="0.14600091693410577"/>
  </r>
  <r>
    <s v="SP047"/>
    <x v="2"/>
    <x v="44"/>
    <x v="2"/>
    <s v="From pop to podcasts, its all here."/>
    <n v="3361"/>
    <n v="188"/>
    <n v="358"/>
    <n v="39838"/>
    <n v="24536"/>
    <n v="120"/>
    <x v="7"/>
    <s v="#DiscoverWeekly"/>
    <s v="#SoundtrackOfLife"/>
    <s v="SummerBeats"/>
    <n v="9.8072192379135503E-2"/>
  </r>
  <r>
    <s v="SP048"/>
    <x v="0"/>
    <x v="45"/>
    <x v="1"/>
    <s v="Music that moves you only on Spotify."/>
    <n v="3074"/>
    <n v="371"/>
    <n v="348"/>
    <n v="24104"/>
    <n v="57803"/>
    <n v="213"/>
    <x v="5"/>
    <s v="#NowPlaying"/>
    <m/>
    <s v="Wrapped2024"/>
    <n v="0.15735977431131762"/>
  </r>
  <r>
    <s v="SP049"/>
    <x v="1"/>
    <x v="46"/>
    <x v="1"/>
    <s v="Get into the groove with our new drop!"/>
    <n v="4276"/>
    <n v="227"/>
    <n v="223"/>
    <n v="43443"/>
    <n v="41005"/>
    <n v="191"/>
    <x v="4"/>
    <s v="#DiscoverWeekly"/>
    <s v="#MusicForEveryone"/>
    <s v="ChillVibes"/>
    <n v="0.1087862256289851"/>
  </r>
  <r>
    <s v="SP050"/>
    <x v="1"/>
    <x v="47"/>
    <x v="0"/>
    <s v="Discover fresh beats on Spotify!"/>
    <n v="4401"/>
    <n v="421"/>
    <n v="216"/>
    <n v="24890"/>
    <n v="54361"/>
    <n v="148"/>
    <x v="5"/>
    <s v="#NowPlaying"/>
    <m/>
    <s v="ChillVibes"/>
    <n v="0.20241060666934513"/>
  </r>
  <r>
    <s v="SP051"/>
    <x v="2"/>
    <x v="48"/>
    <x v="2"/>
    <s v="Explore the latest podcasts now."/>
    <n v="4161"/>
    <n v="481"/>
    <n v="61"/>
    <n v="45884"/>
    <n v="48955"/>
    <n v="215"/>
    <x v="7"/>
    <s v="#DiscoverWeekly"/>
    <s v="#SoundtrackOfLife"/>
    <s v="SummerBeats"/>
    <n v="0.10249760265016128"/>
  </r>
  <r>
    <s v="SP052"/>
    <x v="1"/>
    <x v="49"/>
    <x v="1"/>
    <s v="New music just dropped. Hit play!"/>
    <n v="2613"/>
    <n v="455"/>
    <n v="228"/>
    <n v="21645"/>
    <n v="61334"/>
    <n v="261"/>
    <x v="4"/>
    <s v="#DiscoverWeekly"/>
    <s v="#MusicForEveryone"/>
    <s v="ChillVibes"/>
    <n v="0.15227535227535227"/>
  </r>
  <r>
    <s v="SP053"/>
    <x v="1"/>
    <x v="50"/>
    <x v="1"/>
    <s v="What's your vibe today? #SpotifyHits"/>
    <n v="2842"/>
    <n v="213"/>
    <n v="331"/>
    <n v="57660"/>
    <n v="68606"/>
    <n v="87"/>
    <x v="2"/>
    <s v="#MusicForEveryone"/>
    <s v="#NowPlaying"/>
    <s v="ChillVibes"/>
    <n v="5.8723551855705859E-2"/>
  </r>
  <r>
    <s v="SP054"/>
    <x v="0"/>
    <x v="51"/>
    <x v="0"/>
    <s v="Get into the groove with our new drop!"/>
    <n v="4851"/>
    <n v="460"/>
    <n v="212"/>
    <n v="58075"/>
    <n v="59574"/>
    <n v="239"/>
    <x v="1"/>
    <s v="#DiscoverWeekly"/>
    <m/>
    <s v="IndieWave"/>
    <n v="9.5101162290142052E-2"/>
  </r>
  <r>
    <s v="SP055"/>
    <x v="1"/>
    <x v="52"/>
    <x v="0"/>
    <s v="Explore the latest podcasts now."/>
    <n v="1828"/>
    <n v="450"/>
    <n v="214"/>
    <n v="52115"/>
    <n v="19166"/>
    <n v="190"/>
    <x v="5"/>
    <s v="#NowPlaying"/>
    <m/>
    <s v="ChillVibes"/>
    <n v="4.781732706514439E-2"/>
  </r>
  <r>
    <s v="SP056"/>
    <x v="0"/>
    <x v="53"/>
    <x v="1"/>
    <s v="From pop to podcasts, its all here."/>
    <n v="2422"/>
    <n v="455"/>
    <n v="376"/>
    <n v="23428"/>
    <n v="46775"/>
    <n v="259"/>
    <x v="5"/>
    <s v="#NowPlaying"/>
    <m/>
    <s v="Wrapped2024"/>
    <n v="0.13885094758408742"/>
  </r>
  <r>
    <s v="SP057"/>
    <x v="0"/>
    <x v="54"/>
    <x v="0"/>
    <s v="Top trending tracks updated daily!"/>
    <n v="2683"/>
    <n v="405"/>
    <n v="223"/>
    <n v="31233"/>
    <n v="58106"/>
    <n v="291"/>
    <x v="1"/>
    <s v="#DiscoverWeekly"/>
    <m/>
    <s v="IndieWave"/>
    <n v="0.10600966926007749"/>
  </r>
  <r>
    <s v="SP058"/>
    <x v="2"/>
    <x v="55"/>
    <x v="0"/>
    <s v="Top trending tracks updated daily!"/>
    <n v="3135"/>
    <n v="110"/>
    <n v="215"/>
    <n v="39192"/>
    <n v="24744"/>
    <n v="177"/>
    <x v="3"/>
    <s v="#DiscoverWeekly"/>
    <s v="#SpotifyWrapped"/>
    <s v="IndieWave"/>
    <n v="8.8283323127168814E-2"/>
  </r>
  <r>
    <s v="SP059"/>
    <x v="2"/>
    <x v="56"/>
    <x v="0"/>
    <s v="From pop to podcasts, its all here."/>
    <n v="1105"/>
    <n v="181"/>
    <n v="55"/>
    <n v="53581"/>
    <n v="74048"/>
    <n v="220"/>
    <x v="3"/>
    <s v="#DiscoverWeekly"/>
    <s v="#SpotifyWrapped"/>
    <s v="IndieWave"/>
    <n v="2.50275284149232E-2"/>
  </r>
  <r>
    <s v="SP060"/>
    <x v="2"/>
    <x v="57"/>
    <x v="0"/>
    <s v="Discover fresh beats on Spotify!"/>
    <n v="4674"/>
    <n v="326"/>
    <n v="62"/>
    <n v="45503"/>
    <n v="46814"/>
    <n v="116"/>
    <x v="3"/>
    <s v="#DiscoverWeekly"/>
    <s v="#SpotifyWrapped"/>
    <s v="IndieWave"/>
    <n v="0.11124541239039185"/>
  </r>
  <r>
    <s v="SP061"/>
    <x v="2"/>
    <x v="58"/>
    <x v="2"/>
    <s v="Explore the latest podcasts now."/>
    <n v="3437"/>
    <n v="129"/>
    <n v="359"/>
    <n v="44558"/>
    <n v="30854"/>
    <n v="171"/>
    <x v="7"/>
    <s v="#DiscoverWeekly"/>
    <s v="#SoundtrackOfLife"/>
    <s v="SummerBeats"/>
    <n v="8.8087436599488311E-2"/>
  </r>
  <r>
    <s v="SP062"/>
    <x v="1"/>
    <x v="59"/>
    <x v="1"/>
    <s v="Wrapped is here! Relive your top tracks "/>
    <n v="1959"/>
    <n v="316"/>
    <n v="82"/>
    <n v="54036"/>
    <n v="69015"/>
    <n v="182"/>
    <x v="2"/>
    <s v="#MusicForEveryone"/>
    <s v="#NowPlaying"/>
    <s v="ChillVibes"/>
    <n v="4.3619068768968837E-2"/>
  </r>
  <r>
    <s v="SP063"/>
    <x v="1"/>
    <x v="60"/>
    <x v="0"/>
    <s v="New music just dropped. Hit play!"/>
    <n v="1035"/>
    <n v="137"/>
    <n v="184"/>
    <n v="37302"/>
    <n v="68953"/>
    <n v="237"/>
    <x v="6"/>
    <s v="#SoundtrackOfLife"/>
    <m/>
    <s v="IndieWave"/>
    <n v="3.6351938233874857E-2"/>
  </r>
  <r>
    <s v="SP064"/>
    <x v="1"/>
    <x v="61"/>
    <x v="1"/>
    <s v="New music just dropped. Hit play!"/>
    <n v="4478"/>
    <n v="101"/>
    <n v="121"/>
    <n v="51035"/>
    <n v="58207"/>
    <n v="205"/>
    <x v="2"/>
    <s v="#MusicForEveryone"/>
    <s v="#NowPlaying"/>
    <s v="ChillVibes"/>
    <n v="9.2093661212893113E-2"/>
  </r>
  <r>
    <s v="SP065"/>
    <x v="2"/>
    <x v="62"/>
    <x v="0"/>
    <s v="From pop to podcasts, its all here."/>
    <n v="1488"/>
    <n v="327"/>
    <n v="110"/>
    <n v="53805"/>
    <n v="30239"/>
    <n v="109"/>
    <x v="3"/>
    <s v="#DiscoverWeekly"/>
    <s v="#SpotifyWrapped"/>
    <s v="IndieWave"/>
    <n v="3.5777344113000653E-2"/>
  </r>
  <r>
    <s v="SP066"/>
    <x v="0"/>
    <x v="63"/>
    <x v="0"/>
    <s v="Wrapped is here! Relive your top tracks "/>
    <n v="4836"/>
    <n v="331"/>
    <n v="140"/>
    <n v="58792"/>
    <n v="47711"/>
    <n v="227"/>
    <x v="0"/>
    <s v="#SoundtrackOfLife"/>
    <s v="#NowPlaying"/>
    <s v="ChillVibes"/>
    <n v="9.0267383317458164E-2"/>
  </r>
  <r>
    <s v="SP067"/>
    <x v="2"/>
    <x v="64"/>
    <x v="2"/>
    <s v="Your weekend playlist is waiting."/>
    <n v="4563"/>
    <n v="488"/>
    <n v="356"/>
    <n v="30619"/>
    <n v="23328"/>
    <n v="267"/>
    <x v="7"/>
    <s v="#DiscoverWeekly"/>
    <s v="#SoundtrackOfLife"/>
    <s v="SummerBeats"/>
    <n v="0.17658969920637513"/>
  </r>
  <r>
    <s v="SP068"/>
    <x v="1"/>
    <x v="65"/>
    <x v="0"/>
    <s v="Music that moves you only on Spotify."/>
    <n v="3276"/>
    <n v="421"/>
    <n v="114"/>
    <n v="20580"/>
    <n v="30324"/>
    <n v="221"/>
    <x v="6"/>
    <s v="#SoundtrackOfLife"/>
    <m/>
    <s v="IndieWave"/>
    <n v="0.18517978620019437"/>
  </r>
  <r>
    <s v="SP069"/>
    <x v="1"/>
    <x v="66"/>
    <x v="1"/>
    <s v="Music that moves you only on Spotify."/>
    <n v="1316"/>
    <n v="472"/>
    <n v="286"/>
    <n v="44692"/>
    <n v="53343"/>
    <n v="227"/>
    <x v="4"/>
    <s v="#DiscoverWeekly"/>
    <s v="#MusicForEveryone"/>
    <s v="ChillVibes"/>
    <n v="4.6406515707509172E-2"/>
  </r>
  <r>
    <s v="SP070"/>
    <x v="1"/>
    <x v="67"/>
    <x v="0"/>
    <s v="Wrapped is here! Relive your top tracks "/>
    <n v="4811"/>
    <n v="473"/>
    <n v="254"/>
    <n v="51964"/>
    <n v="68795"/>
    <n v="107"/>
    <x v="5"/>
    <s v="#NowPlaying"/>
    <m/>
    <s v="ChillVibes"/>
    <n v="0.10657378184897237"/>
  </r>
  <r>
    <s v="SP071"/>
    <x v="1"/>
    <x v="68"/>
    <x v="0"/>
    <s v="What's your vibe today? #SpotifyHits"/>
    <n v="4218"/>
    <n v="247"/>
    <n v="183"/>
    <n v="28914"/>
    <n v="18310"/>
    <n v="135"/>
    <x v="6"/>
    <s v="#SoundtrackOfLife"/>
    <m/>
    <s v="IndieWave"/>
    <n v="0.1607525766064882"/>
  </r>
  <r>
    <s v="SP072"/>
    <x v="0"/>
    <x v="69"/>
    <x v="0"/>
    <s v="From pop to podcasts, its all here."/>
    <n v="1360"/>
    <n v="249"/>
    <n v="52"/>
    <n v="20368"/>
    <n v="42152"/>
    <n v="193"/>
    <x v="1"/>
    <s v="#DiscoverWeekly"/>
    <m/>
    <s v="IndieWave"/>
    <n v="8.1549489395129612E-2"/>
  </r>
  <r>
    <s v="SP073"/>
    <x v="2"/>
    <x v="70"/>
    <x v="2"/>
    <s v="Discover fresh beats on Spotify!"/>
    <n v="1085"/>
    <n v="496"/>
    <n v="320"/>
    <n v="36528"/>
    <n v="38599"/>
    <n v="270"/>
    <x v="7"/>
    <s v="#DiscoverWeekly"/>
    <s v="#SoundtrackOfLife"/>
    <s v="SummerBeats"/>
    <n v="5.2042268944371438E-2"/>
  </r>
  <r>
    <s v="SP074"/>
    <x v="1"/>
    <x v="71"/>
    <x v="1"/>
    <s v="Get into the groove with our new drop!"/>
    <n v="1763"/>
    <n v="206"/>
    <n v="187"/>
    <n v="53342"/>
    <n v="25095"/>
    <n v="88"/>
    <x v="4"/>
    <s v="#DiscoverWeekly"/>
    <s v="#MusicForEveryone"/>
    <s v="ChillVibes"/>
    <n v="4.0418432004799221E-2"/>
  </r>
  <r>
    <s v="SP075"/>
    <x v="1"/>
    <x v="72"/>
    <x v="1"/>
    <s v="From pop to podcasts, its all here."/>
    <n v="1554"/>
    <n v="455"/>
    <n v="158"/>
    <n v="41947"/>
    <n v="48578"/>
    <n v="101"/>
    <x v="0"/>
    <s v="#SoundtrackOfLife"/>
    <s v="#NowPlaying"/>
    <s v="ChillVibes"/>
    <n v="5.1660428636136076E-2"/>
  </r>
  <r>
    <s v="SP076"/>
    <x v="0"/>
    <x v="42"/>
    <x v="0"/>
    <s v="Wrapped is here! Relive your top tracks "/>
    <n v="2464"/>
    <n v="401"/>
    <n v="78"/>
    <n v="38665"/>
    <n v="73593"/>
    <n v="207"/>
    <x v="1"/>
    <s v="#DiscoverWeekly"/>
    <m/>
    <s v="IndieWave"/>
    <n v="7.611534979956032E-2"/>
  </r>
  <r>
    <s v="SP077"/>
    <x v="1"/>
    <x v="73"/>
    <x v="0"/>
    <s v="From pop to podcasts, its all here."/>
    <n v="2418"/>
    <n v="161"/>
    <n v="360"/>
    <n v="30589"/>
    <n v="41383"/>
    <n v="88"/>
    <x v="5"/>
    <s v="#NowPlaying"/>
    <m/>
    <s v="ChillVibes"/>
    <n v="9.6080290300434801E-2"/>
  </r>
  <r>
    <s v="SP078"/>
    <x v="1"/>
    <x v="74"/>
    <x v="1"/>
    <s v="Discover fresh beats on Spotify!"/>
    <n v="2494"/>
    <n v="494"/>
    <n v="55"/>
    <n v="22580"/>
    <n v="22214"/>
    <n v="109"/>
    <x v="2"/>
    <s v="#MusicForEveryone"/>
    <s v="#NowPlaying"/>
    <s v="ChillVibes"/>
    <n v="0.13476527900797167"/>
  </r>
  <r>
    <s v="SP079"/>
    <x v="2"/>
    <x v="75"/>
    <x v="2"/>
    <s v="New music just dropped. Hit play!"/>
    <n v="4781"/>
    <n v="191"/>
    <n v="122"/>
    <n v="35535"/>
    <n v="50777"/>
    <n v="128"/>
    <x v="7"/>
    <s v="#DiscoverWeekly"/>
    <s v="#SoundtrackOfLife"/>
    <s v="SummerBeats"/>
    <n v="0.14335162515829464"/>
  </r>
  <r>
    <s v="SP080"/>
    <x v="0"/>
    <x v="76"/>
    <x v="0"/>
    <s v="Music that moves you only on Spotify."/>
    <n v="2284"/>
    <n v="187"/>
    <n v="260"/>
    <n v="37400"/>
    <n v="65014"/>
    <n v="157"/>
    <x v="0"/>
    <s v="#SoundtrackOfLife"/>
    <s v="#NowPlaying"/>
    <s v="ChillVibes"/>
    <n v="7.3021390374331557E-2"/>
  </r>
  <r>
    <s v="SP081"/>
    <x v="1"/>
    <x v="77"/>
    <x v="0"/>
    <s v="Get into the groove with our new drop!"/>
    <n v="4234"/>
    <n v="486"/>
    <n v="276"/>
    <n v="56623"/>
    <n v="41343"/>
    <n v="184"/>
    <x v="6"/>
    <s v="#SoundtrackOfLife"/>
    <m/>
    <s v="IndieWave"/>
    <n v="8.8232696960599044E-2"/>
  </r>
  <r>
    <s v="SP082"/>
    <x v="0"/>
    <x v="78"/>
    <x v="0"/>
    <s v="Your weekend playlist is waiting."/>
    <n v="2102"/>
    <n v="181"/>
    <n v="306"/>
    <n v="43650"/>
    <n v="50079"/>
    <n v="182"/>
    <x v="1"/>
    <s v="#DiscoverWeekly"/>
    <m/>
    <s v="IndieWave"/>
    <n v="5.9312714776632303E-2"/>
  </r>
  <r>
    <s v="SP083"/>
    <x v="1"/>
    <x v="79"/>
    <x v="1"/>
    <s v="Get into the groove with our new drop!"/>
    <n v="4845"/>
    <n v="158"/>
    <n v="84"/>
    <n v="34578"/>
    <n v="51480"/>
    <n v="180"/>
    <x v="0"/>
    <s v="#SoundtrackOfLife"/>
    <s v="#NowPlaying"/>
    <s v="ChillVibes"/>
    <n v="0.1471166637746544"/>
  </r>
  <r>
    <s v="SP084"/>
    <x v="1"/>
    <x v="80"/>
    <x v="0"/>
    <s v="Your weekend playlist is waiting."/>
    <n v="4247"/>
    <n v="390"/>
    <n v="213"/>
    <n v="29785"/>
    <n v="57768"/>
    <n v="122"/>
    <x v="5"/>
    <s v="#NowPlaying"/>
    <m/>
    <s v="ChillVibes"/>
    <n v="0.16283364109451065"/>
  </r>
  <r>
    <s v="SP085"/>
    <x v="0"/>
    <x v="81"/>
    <x v="0"/>
    <s v="Explore the latest podcasts now."/>
    <n v="2965"/>
    <n v="328"/>
    <n v="171"/>
    <n v="57685"/>
    <n v="67536"/>
    <n v="264"/>
    <x v="0"/>
    <s v="#SoundtrackOfLife"/>
    <s v="#NowPlaying"/>
    <s v="ChillVibes"/>
    <n v="6.0050273034584378E-2"/>
  </r>
  <r>
    <s v="SP086"/>
    <x v="1"/>
    <x v="23"/>
    <x v="1"/>
    <s v="Wrapped is here! Relive your top tracks "/>
    <n v="1371"/>
    <n v="139"/>
    <n v="96"/>
    <n v="36140"/>
    <n v="39395"/>
    <n v="169"/>
    <x v="0"/>
    <s v="#SoundtrackOfLife"/>
    <s v="#NowPlaying"/>
    <s v="ChillVibes"/>
    <n v="4.4438295517432211E-2"/>
  </r>
  <r>
    <s v="SP087"/>
    <x v="1"/>
    <x v="82"/>
    <x v="1"/>
    <s v="Discover fresh beats on Spotify!"/>
    <n v="2683"/>
    <n v="496"/>
    <n v="89"/>
    <n v="53435"/>
    <n v="30334"/>
    <n v="160"/>
    <x v="0"/>
    <s v="#SoundtrackOfLife"/>
    <s v="#NowPlaying"/>
    <s v="ChillVibes"/>
    <n v="6.1158416768035934E-2"/>
  </r>
  <r>
    <s v="SP088"/>
    <x v="1"/>
    <x v="83"/>
    <x v="1"/>
    <s v="What's your vibe today? #SpotifyHits"/>
    <n v="4796"/>
    <n v="427"/>
    <n v="339"/>
    <n v="30752"/>
    <n v="33870"/>
    <n v="298"/>
    <x v="0"/>
    <s v="#SoundtrackOfLife"/>
    <s v="#NowPlaying"/>
    <s v="ChillVibes"/>
    <n v="0.18086628511966701"/>
  </r>
  <r>
    <s v="SP089"/>
    <x v="0"/>
    <x v="8"/>
    <x v="0"/>
    <s v="Wrapped is here! Relive your top tracks "/>
    <n v="2601"/>
    <n v="336"/>
    <n v="260"/>
    <n v="32368"/>
    <n v="49028"/>
    <n v="120"/>
    <x v="0"/>
    <s v="#SoundtrackOfLife"/>
    <s v="#NowPlaying"/>
    <s v="ChillVibes"/>
    <n v="9.8770390509144837E-2"/>
  </r>
  <r>
    <s v="SP090"/>
    <x v="1"/>
    <x v="84"/>
    <x v="1"/>
    <s v="Wrapped is here! Relive your top tracks "/>
    <n v="3336"/>
    <n v="229"/>
    <n v="337"/>
    <n v="22117"/>
    <n v="26205"/>
    <n v="160"/>
    <x v="2"/>
    <s v="#MusicForEveryone"/>
    <s v="#NowPlaying"/>
    <s v="ChillVibes"/>
    <n v="0.17642537414658407"/>
  </r>
  <r>
    <s v="SP091"/>
    <x v="1"/>
    <x v="85"/>
    <x v="0"/>
    <s v="Explore the latest podcasts now."/>
    <n v="1165"/>
    <n v="294"/>
    <n v="163"/>
    <n v="20659"/>
    <n v="45926"/>
    <n v="111"/>
    <x v="6"/>
    <s v="#SoundtrackOfLife"/>
    <m/>
    <s v="IndieWave"/>
    <n v="7.8512996756861422E-2"/>
  </r>
  <r>
    <s v="SP092"/>
    <x v="2"/>
    <x v="86"/>
    <x v="2"/>
    <s v="Explore the latest podcasts now."/>
    <n v="1948"/>
    <n v="155"/>
    <n v="315"/>
    <n v="30321"/>
    <n v="57121"/>
    <n v="82"/>
    <x v="7"/>
    <s v="#DiscoverWeekly"/>
    <s v="#SoundtrackOfLife"/>
    <s v="SummerBeats"/>
    <n v="7.974671020085089E-2"/>
  </r>
  <r>
    <s v="SP093"/>
    <x v="0"/>
    <x v="87"/>
    <x v="0"/>
    <s v="From pop to podcasts, its all here."/>
    <n v="1100"/>
    <n v="229"/>
    <n v="312"/>
    <n v="25641"/>
    <n v="34601"/>
    <n v="169"/>
    <x v="1"/>
    <s v="#DiscoverWeekly"/>
    <m/>
    <s v="IndieWave"/>
    <n v="6.3999063999063993E-2"/>
  </r>
  <r>
    <s v="SP094"/>
    <x v="1"/>
    <x v="88"/>
    <x v="1"/>
    <s v="Top trending tracks updated daily!"/>
    <n v="4628"/>
    <n v="257"/>
    <n v="397"/>
    <n v="36686"/>
    <n v="54683"/>
    <n v="98"/>
    <x v="0"/>
    <s v="#SoundtrackOfLife"/>
    <s v="#NowPlaying"/>
    <s v="ChillVibes"/>
    <n v="0.1439786294499264"/>
  </r>
  <r>
    <s v="SP095"/>
    <x v="0"/>
    <x v="89"/>
    <x v="1"/>
    <s v="Discover fresh beats on Spotify!"/>
    <n v="2319"/>
    <n v="484"/>
    <n v="193"/>
    <n v="21202"/>
    <n v="18091"/>
    <n v="241"/>
    <x v="5"/>
    <s v="#NowPlaying"/>
    <m/>
    <s v="Wrapped2024"/>
    <n v="0.14130742382794076"/>
  </r>
  <r>
    <s v="SP096"/>
    <x v="1"/>
    <x v="90"/>
    <x v="1"/>
    <s v="Wrapped is here! Relive your top tracks "/>
    <n v="2895"/>
    <n v="292"/>
    <n v="90"/>
    <n v="24223"/>
    <n v="54626"/>
    <n v="114"/>
    <x v="0"/>
    <s v="#SoundtrackOfLife"/>
    <s v="#NowPlaying"/>
    <s v="ChillVibes"/>
    <n v="0.13528464682326713"/>
  </r>
  <r>
    <s v="SP097"/>
    <x v="0"/>
    <x v="91"/>
    <x v="0"/>
    <s v="What's your vibe today? #SpotifyHits"/>
    <n v="3878"/>
    <n v="431"/>
    <n v="97"/>
    <n v="41763"/>
    <n v="29729"/>
    <n v="191"/>
    <x v="1"/>
    <s v="#DiscoverWeekly"/>
    <m/>
    <s v="IndieWave"/>
    <n v="0.10550008380623997"/>
  </r>
  <r>
    <s v="SP098"/>
    <x v="1"/>
    <x v="92"/>
    <x v="1"/>
    <s v="Get into the groove with our new drop!"/>
    <n v="4969"/>
    <n v="433"/>
    <n v="237"/>
    <n v="59552"/>
    <n v="23885"/>
    <n v="157"/>
    <x v="4"/>
    <s v="#DiscoverWeekly"/>
    <s v="#MusicForEveryone"/>
    <s v="ChillVibes"/>
    <n v="9.4690354648038683E-2"/>
  </r>
  <r>
    <s v="SP099"/>
    <x v="1"/>
    <x v="93"/>
    <x v="0"/>
    <s v="Wrapped is here! Relive your top tracks "/>
    <n v="1984"/>
    <n v="481"/>
    <n v="356"/>
    <n v="40681"/>
    <n v="63111"/>
    <n v="258"/>
    <x v="5"/>
    <s v="#NowPlaying"/>
    <m/>
    <s v="ChillVibes"/>
    <n v="6.934441139598338E-2"/>
  </r>
  <r>
    <s v="SP100"/>
    <x v="0"/>
    <x v="94"/>
    <x v="0"/>
    <s v="Discover fresh beats on Spotify!"/>
    <n v="3004"/>
    <n v="415"/>
    <n v="218"/>
    <n v="36090"/>
    <n v="37073"/>
    <n v="181"/>
    <x v="1"/>
    <s v="#DiscoverWeekly"/>
    <m/>
    <s v="IndieWave"/>
    <n v="0.10077583818232197"/>
  </r>
  <r>
    <s v="SP101"/>
    <x v="1"/>
    <x v="95"/>
    <x v="0"/>
    <s v="Get into the groove with our new drop!"/>
    <n v="3169"/>
    <n v="386"/>
    <n v="175"/>
    <n v="45012"/>
    <n v="38508"/>
    <n v="218"/>
    <x v="5"/>
    <s v="#NowPlaying"/>
    <m/>
    <s v="ChillVibes"/>
    <n v="8.2866791077934779E-2"/>
  </r>
  <r>
    <s v="SP102"/>
    <x v="1"/>
    <x v="96"/>
    <x v="0"/>
    <s v="Discover fresh beats on Spotify!"/>
    <n v="3036"/>
    <n v="293"/>
    <n v="115"/>
    <n v="23776"/>
    <n v="46386"/>
    <n v="282"/>
    <x v="5"/>
    <s v="#NowPlaying"/>
    <m/>
    <s v="ChillVibes"/>
    <n v="0.14485195154777927"/>
  </r>
  <r>
    <s v="SP103"/>
    <x v="0"/>
    <x v="97"/>
    <x v="0"/>
    <s v="Music that moves you only on Spotify."/>
    <n v="1830"/>
    <n v="112"/>
    <n v="181"/>
    <n v="31870"/>
    <n v="55742"/>
    <n v="263"/>
    <x v="0"/>
    <s v="#SoundtrackOfLife"/>
    <s v="#NowPlaying"/>
    <s v="ChillVibes"/>
    <n v="6.6614370881706936E-2"/>
  </r>
  <r>
    <s v="SP104"/>
    <x v="1"/>
    <x v="98"/>
    <x v="1"/>
    <s v="What's your vibe today? #SpotifyHits"/>
    <n v="2587"/>
    <n v="447"/>
    <n v="183"/>
    <n v="36266"/>
    <n v="32877"/>
    <n v="132"/>
    <x v="4"/>
    <s v="#DiscoverWeekly"/>
    <s v="#MusicForEveryone"/>
    <s v="ChillVibes"/>
    <n v="8.8705674736667947E-2"/>
  </r>
  <r>
    <s v="SP105"/>
    <x v="1"/>
    <x v="99"/>
    <x v="0"/>
    <s v="Discover fresh beats on Spotify!"/>
    <n v="2878"/>
    <n v="265"/>
    <n v="91"/>
    <n v="52090"/>
    <n v="28924"/>
    <n v="133"/>
    <x v="5"/>
    <s v="#NowPlaying"/>
    <m/>
    <s v="ChillVibes"/>
    <n v="6.2084853138798232E-2"/>
  </r>
  <r>
    <s v="SP106"/>
    <x v="1"/>
    <x v="100"/>
    <x v="1"/>
    <s v="New music just dropped. Hit play!"/>
    <n v="4619"/>
    <n v="272"/>
    <n v="57"/>
    <n v="21334"/>
    <n v="46292"/>
    <n v="91"/>
    <x v="0"/>
    <s v="#SoundtrackOfLife"/>
    <s v="#NowPlaying"/>
    <s v="ChillVibes"/>
    <n v="0.23193025217961938"/>
  </r>
  <r>
    <s v="SP107"/>
    <x v="1"/>
    <x v="101"/>
    <x v="0"/>
    <s v="Music that moves you only on Spotify."/>
    <n v="4090"/>
    <n v="209"/>
    <n v="278"/>
    <n v="52853"/>
    <n v="57084"/>
    <n v="102"/>
    <x v="6"/>
    <s v="#SoundtrackOfLife"/>
    <m/>
    <s v="IndieWave"/>
    <n v="8.6598679355949518E-2"/>
  </r>
  <r>
    <s v="SP108"/>
    <x v="2"/>
    <x v="102"/>
    <x v="2"/>
    <s v="Music that moves you only on Spotify."/>
    <n v="3882"/>
    <n v="342"/>
    <n v="374"/>
    <n v="41991"/>
    <n v="48554"/>
    <n v="118"/>
    <x v="7"/>
    <s v="#DiscoverWeekly"/>
    <s v="#SoundtrackOfLife"/>
    <s v="SummerBeats"/>
    <n v="0.10949965468790931"/>
  </r>
  <r>
    <s v="SP109"/>
    <x v="0"/>
    <x v="103"/>
    <x v="0"/>
    <s v="Music that moves you only on Spotify."/>
    <n v="4581"/>
    <n v="181"/>
    <n v="112"/>
    <n v="35221"/>
    <n v="28797"/>
    <n v="164"/>
    <x v="0"/>
    <s v="#SoundtrackOfLife"/>
    <s v="#NowPlaying"/>
    <s v="ChillVibes"/>
    <n v="0.13838335084182732"/>
  </r>
  <r>
    <s v="SP110"/>
    <x v="0"/>
    <x v="104"/>
    <x v="0"/>
    <s v="New music just dropped. Hit play!"/>
    <n v="3253"/>
    <n v="483"/>
    <n v="336"/>
    <n v="25397"/>
    <n v="51485"/>
    <n v="131"/>
    <x v="1"/>
    <s v="#DiscoverWeekly"/>
    <m/>
    <s v="IndieWave"/>
    <n v="0.16033389770445328"/>
  </r>
  <r>
    <s v="SP111"/>
    <x v="2"/>
    <x v="105"/>
    <x v="2"/>
    <s v="Music that moves you only on Spotify."/>
    <n v="4955"/>
    <n v="299"/>
    <n v="345"/>
    <n v="33644"/>
    <n v="43547"/>
    <n v="194"/>
    <x v="7"/>
    <s v="#DiscoverWeekly"/>
    <s v="#SoundtrackOfLife"/>
    <s v="SummerBeats"/>
    <n v="0.16641897515158721"/>
  </r>
  <r>
    <s v="SP112"/>
    <x v="0"/>
    <x v="106"/>
    <x v="0"/>
    <s v="Your weekend playlist is waiting."/>
    <n v="1333"/>
    <n v="286"/>
    <n v="298"/>
    <n v="36174"/>
    <n v="34517"/>
    <n v="170"/>
    <x v="0"/>
    <s v="#SoundtrackOfLife"/>
    <s v="#NowPlaying"/>
    <s v="ChillVibes"/>
    <n v="5.2993862995521647E-2"/>
  </r>
  <r>
    <s v="SP113"/>
    <x v="0"/>
    <x v="107"/>
    <x v="0"/>
    <s v="New music just dropped. Hit play!"/>
    <n v="1616"/>
    <n v="360"/>
    <n v="180"/>
    <n v="54342"/>
    <n v="18796"/>
    <n v="282"/>
    <x v="0"/>
    <s v="#SoundtrackOfLife"/>
    <s v="#NowPlaying"/>
    <s v="ChillVibes"/>
    <n v="3.9674653122814763E-2"/>
  </r>
  <r>
    <s v="SP114"/>
    <x v="1"/>
    <x v="108"/>
    <x v="0"/>
    <s v="Top trending tracks updated daily!"/>
    <n v="1803"/>
    <n v="273"/>
    <n v="287"/>
    <n v="46176"/>
    <n v="25488"/>
    <n v="141"/>
    <x v="5"/>
    <s v="#NowPlaying"/>
    <m/>
    <s v="ChillVibes"/>
    <n v="5.1173769923769923E-2"/>
  </r>
  <r>
    <s v="SP115"/>
    <x v="0"/>
    <x v="109"/>
    <x v="0"/>
    <s v="Explore the latest podcasts now."/>
    <n v="4177"/>
    <n v="489"/>
    <n v="331"/>
    <n v="57451"/>
    <n v="73793"/>
    <n v="251"/>
    <x v="1"/>
    <s v="#DiscoverWeekly"/>
    <m/>
    <s v="IndieWave"/>
    <n v="8.6978468608031198E-2"/>
  </r>
  <r>
    <s v="SP116"/>
    <x v="0"/>
    <x v="0"/>
    <x v="1"/>
    <s v="New music just dropped. Hit play!"/>
    <n v="1311"/>
    <n v="181"/>
    <n v="361"/>
    <n v="37148"/>
    <n v="44875"/>
    <n v="245"/>
    <x v="5"/>
    <s v="#NowPlaying"/>
    <m/>
    <s v="Wrapped2024"/>
    <n v="4.9881554861634543E-2"/>
  </r>
  <r>
    <s v="SP117"/>
    <x v="0"/>
    <x v="110"/>
    <x v="1"/>
    <s v="From pop to podcasts, its all here."/>
    <n v="1516"/>
    <n v="215"/>
    <n v="332"/>
    <n v="58981"/>
    <n v="36118"/>
    <n v="211"/>
    <x v="5"/>
    <s v="#NowPlaying"/>
    <m/>
    <s v="Wrapped2024"/>
    <n v="3.4977365592309385E-2"/>
  </r>
  <r>
    <s v="SP118"/>
    <x v="1"/>
    <x v="111"/>
    <x v="1"/>
    <s v="Music that moves you only on Spotify."/>
    <n v="2023"/>
    <n v="124"/>
    <n v="99"/>
    <n v="54524"/>
    <n v="34790"/>
    <n v="195"/>
    <x v="4"/>
    <s v="#DiscoverWeekly"/>
    <s v="#MusicForEveryone"/>
    <s v="ChillVibes"/>
    <n v="4.1192869195216787E-2"/>
  </r>
  <r>
    <s v="SP119"/>
    <x v="1"/>
    <x v="112"/>
    <x v="1"/>
    <s v="Music that moves you only on Spotify."/>
    <n v="2134"/>
    <n v="322"/>
    <n v="114"/>
    <n v="44338"/>
    <n v="52165"/>
    <n v="176"/>
    <x v="2"/>
    <s v="#MusicForEveryone"/>
    <s v="#NowPlaying"/>
    <s v="ChillVibes"/>
    <n v="5.7963823356939871E-2"/>
  </r>
  <r>
    <s v="SP120"/>
    <x v="0"/>
    <x v="113"/>
    <x v="0"/>
    <s v="Top trending tracks updated daily!"/>
    <n v="2266"/>
    <n v="126"/>
    <n v="140"/>
    <n v="53759"/>
    <n v="46834"/>
    <n v="277"/>
    <x v="1"/>
    <s v="#DiscoverWeekly"/>
    <m/>
    <s v="IndieWave"/>
    <n v="4.7099090384865788E-2"/>
  </r>
  <r>
    <s v="SP121"/>
    <x v="0"/>
    <x v="114"/>
    <x v="1"/>
    <s v="New music just dropped. Hit play!"/>
    <n v="3916"/>
    <n v="459"/>
    <n v="229"/>
    <n v="48989"/>
    <n v="39768"/>
    <n v="200"/>
    <x v="5"/>
    <s v="#NowPlaying"/>
    <m/>
    <s v="Wrapped2024"/>
    <n v="9.3980281287635997E-2"/>
  </r>
  <r>
    <s v="SP122"/>
    <x v="1"/>
    <x v="115"/>
    <x v="1"/>
    <s v="Music that moves you only on Spotify."/>
    <n v="1022"/>
    <n v="463"/>
    <n v="360"/>
    <n v="51468"/>
    <n v="24279"/>
    <n v="230"/>
    <x v="4"/>
    <s v="#DiscoverWeekly"/>
    <s v="#MusicForEveryone"/>
    <s v="ChillVibes"/>
    <n v="3.5847516903707161E-2"/>
  </r>
  <r>
    <s v="SP123"/>
    <x v="2"/>
    <x v="116"/>
    <x v="0"/>
    <s v="From pop to podcasts, its all here."/>
    <n v="2911"/>
    <n v="467"/>
    <n v="94"/>
    <n v="59083"/>
    <n v="49762"/>
    <n v="236"/>
    <x v="3"/>
    <s v="#DiscoverWeekly"/>
    <s v="#SpotifyWrapped"/>
    <s v="IndieWave"/>
    <n v="5.8764788517847777E-2"/>
  </r>
  <r>
    <s v="SP124"/>
    <x v="1"/>
    <x v="6"/>
    <x v="1"/>
    <s v="New music just dropped. Hit play!"/>
    <n v="3277"/>
    <n v="423"/>
    <n v="259"/>
    <n v="46328"/>
    <n v="44293"/>
    <n v="299"/>
    <x v="0"/>
    <s v="#SoundtrackOfLife"/>
    <s v="#NowPlaying"/>
    <s v="ChillVibes"/>
    <n v="8.5455879813503707E-2"/>
  </r>
  <r>
    <s v="SP125"/>
    <x v="1"/>
    <x v="117"/>
    <x v="0"/>
    <s v="From pop to podcasts, its all here."/>
    <n v="2956"/>
    <n v="381"/>
    <n v="345"/>
    <n v="33347"/>
    <n v="22558"/>
    <n v="173"/>
    <x v="5"/>
    <s v="#NowPlaying"/>
    <m/>
    <s v="ChillVibes"/>
    <n v="0.11041472996071611"/>
  </r>
  <r>
    <s v="SP126"/>
    <x v="1"/>
    <x v="118"/>
    <x v="1"/>
    <s v="What's your vibe today? #SpotifyHits"/>
    <n v="3208"/>
    <n v="476"/>
    <n v="277"/>
    <n v="56072"/>
    <n v="21061"/>
    <n v="113"/>
    <x v="2"/>
    <s v="#MusicForEveryone"/>
    <s v="#NowPlaying"/>
    <s v="ChillVibes"/>
    <n v="7.064131830503638E-2"/>
  </r>
  <r>
    <s v="SP127"/>
    <x v="1"/>
    <x v="119"/>
    <x v="0"/>
    <s v="Music that moves you only on Spotify."/>
    <n v="1456"/>
    <n v="265"/>
    <n v="137"/>
    <n v="53485"/>
    <n v="59729"/>
    <n v="145"/>
    <x v="6"/>
    <s v="#SoundtrackOfLife"/>
    <m/>
    <s v="IndieWave"/>
    <n v="3.4738711788351875E-2"/>
  </r>
  <r>
    <s v="SP128"/>
    <x v="0"/>
    <x v="120"/>
    <x v="0"/>
    <s v="New music just dropped. Hit play!"/>
    <n v="1902"/>
    <n v="394"/>
    <n v="279"/>
    <n v="24615"/>
    <n v="51330"/>
    <n v="176"/>
    <x v="0"/>
    <s v="#SoundtrackOfLife"/>
    <s v="#NowPlaying"/>
    <s v="ChillVibes"/>
    <n v="0.10461100954702417"/>
  </r>
  <r>
    <s v="SP129"/>
    <x v="1"/>
    <x v="121"/>
    <x v="1"/>
    <s v="Explore the latest podcasts now."/>
    <n v="3219"/>
    <n v="424"/>
    <n v="267"/>
    <n v="48879"/>
    <n v="37691"/>
    <n v="224"/>
    <x v="4"/>
    <s v="#DiscoverWeekly"/>
    <s v="#MusicForEveryone"/>
    <s v="ChillVibes"/>
    <n v="7.9993453221219743E-2"/>
  </r>
  <r>
    <s v="SP130"/>
    <x v="2"/>
    <x v="122"/>
    <x v="0"/>
    <s v="Explore the latest podcasts now."/>
    <n v="1261"/>
    <n v="190"/>
    <n v="233"/>
    <n v="59888"/>
    <n v="51449"/>
    <n v="205"/>
    <x v="3"/>
    <s v="#DiscoverWeekly"/>
    <s v="#SpotifyWrapped"/>
    <s v="IndieWave"/>
    <n v="2.811915575741384E-2"/>
  </r>
  <r>
    <s v="SP131"/>
    <x v="1"/>
    <x v="123"/>
    <x v="0"/>
    <s v="Your weekend playlist is waiting."/>
    <n v="1564"/>
    <n v="362"/>
    <n v="371"/>
    <n v="42075"/>
    <n v="66659"/>
    <n v="205"/>
    <x v="6"/>
    <s v="#SoundtrackOfLife"/>
    <m/>
    <s v="IndieWave"/>
    <n v="5.4592988710635768E-2"/>
  </r>
  <r>
    <s v="SP132"/>
    <x v="1"/>
    <x v="124"/>
    <x v="0"/>
    <s v="What's your vibe today? #SpotifyHits"/>
    <n v="4006"/>
    <n v="420"/>
    <n v="194"/>
    <n v="49964"/>
    <n v="20685"/>
    <n v="148"/>
    <x v="5"/>
    <s v="#NowPlaying"/>
    <m/>
    <s v="ChillVibes"/>
    <n v="9.2466575934672959E-2"/>
  </r>
  <r>
    <s v="SP133"/>
    <x v="2"/>
    <x v="125"/>
    <x v="0"/>
    <s v="Your weekend playlist is waiting."/>
    <n v="1976"/>
    <n v="262"/>
    <n v="218"/>
    <n v="51696"/>
    <n v="44846"/>
    <n v="139"/>
    <x v="3"/>
    <s v="#DiscoverWeekly"/>
    <s v="#SpotifyWrapped"/>
    <s v="IndieWave"/>
    <n v="4.7508511296812134E-2"/>
  </r>
  <r>
    <s v="SP134"/>
    <x v="1"/>
    <x v="126"/>
    <x v="0"/>
    <s v="New music just dropped. Hit play!"/>
    <n v="1583"/>
    <n v="433"/>
    <n v="249"/>
    <n v="30256"/>
    <n v="47066"/>
    <n v="196"/>
    <x v="5"/>
    <s v="#NowPlaying"/>
    <m/>
    <s v="ChillVibes"/>
    <n v="7.4861184558434685E-2"/>
  </r>
  <r>
    <s v="SP135"/>
    <x v="1"/>
    <x v="127"/>
    <x v="1"/>
    <s v="Explore the latest podcasts now."/>
    <n v="2870"/>
    <n v="380"/>
    <n v="393"/>
    <n v="37621"/>
    <n v="71794"/>
    <n v="127"/>
    <x v="2"/>
    <s v="#MusicForEveryone"/>
    <s v="#NowPlaying"/>
    <s v="ChillVibes"/>
    <n v="9.6834214933149046E-2"/>
  </r>
  <r>
    <s v="SP136"/>
    <x v="1"/>
    <x v="128"/>
    <x v="0"/>
    <s v="Top trending tracks updated daily!"/>
    <n v="3728"/>
    <n v="271"/>
    <n v="275"/>
    <n v="22827"/>
    <n v="37034"/>
    <n v="199"/>
    <x v="5"/>
    <s v="#NowPlaying"/>
    <m/>
    <s v="ChillVibes"/>
    <n v="0.18723441538528934"/>
  </r>
  <r>
    <s v="SP137"/>
    <x v="1"/>
    <x v="129"/>
    <x v="1"/>
    <s v="New music just dropped. Hit play!"/>
    <n v="4965"/>
    <n v="175"/>
    <n v="307"/>
    <n v="32793"/>
    <n v="43412"/>
    <n v="296"/>
    <x v="0"/>
    <s v="#SoundtrackOfLife"/>
    <s v="#NowPlaying"/>
    <s v="ChillVibes"/>
    <n v="0.16610252187966945"/>
  </r>
  <r>
    <s v="SP138"/>
    <x v="1"/>
    <x v="130"/>
    <x v="1"/>
    <s v="New music just dropped. Hit play!"/>
    <n v="1131"/>
    <n v="100"/>
    <n v="116"/>
    <n v="48437"/>
    <n v="72704"/>
    <n v="236"/>
    <x v="4"/>
    <s v="#DiscoverWeekly"/>
    <s v="#MusicForEveryone"/>
    <s v="ChillVibes"/>
    <n v="2.7809319322005904E-2"/>
  </r>
  <r>
    <s v="SP139"/>
    <x v="1"/>
    <x v="131"/>
    <x v="0"/>
    <s v="Your weekend playlist is waiting."/>
    <n v="2754"/>
    <n v="215"/>
    <n v="264"/>
    <n v="27762"/>
    <n v="70203"/>
    <n v="289"/>
    <x v="5"/>
    <s v="#NowPlaying"/>
    <m/>
    <s v="ChillVibes"/>
    <n v="0.11645414595490239"/>
  </r>
  <r>
    <s v="SP140"/>
    <x v="1"/>
    <x v="132"/>
    <x v="1"/>
    <s v="New music just dropped. Hit play!"/>
    <n v="1856"/>
    <n v="357"/>
    <n v="348"/>
    <n v="29428"/>
    <n v="70206"/>
    <n v="236"/>
    <x v="2"/>
    <s v="#MusicForEveryone"/>
    <s v="#NowPlaying"/>
    <s v="ChillVibes"/>
    <n v="8.702596166915863E-2"/>
  </r>
  <r>
    <s v="SP141"/>
    <x v="2"/>
    <x v="133"/>
    <x v="2"/>
    <s v="Explore the latest podcasts now."/>
    <n v="3543"/>
    <n v="334"/>
    <n v="218"/>
    <n v="58007"/>
    <n v="24792"/>
    <n v="273"/>
    <x v="7"/>
    <s v="#DiscoverWeekly"/>
    <s v="#SoundtrackOfLife"/>
    <s v="SummerBeats"/>
    <n v="7.0594928198320889E-2"/>
  </r>
  <r>
    <s v="SP142"/>
    <x v="0"/>
    <x v="134"/>
    <x v="1"/>
    <s v="New music just dropped. Hit play!"/>
    <n v="4563"/>
    <n v="398"/>
    <n v="163"/>
    <n v="43679"/>
    <n v="48760"/>
    <n v="92"/>
    <x v="5"/>
    <s v="#NowPlaying"/>
    <m/>
    <s v="Wrapped2024"/>
    <n v="0.11731037798484398"/>
  </r>
  <r>
    <s v="SP143"/>
    <x v="0"/>
    <x v="135"/>
    <x v="0"/>
    <s v="Discover fresh beats on Spotify!"/>
    <n v="4283"/>
    <n v="471"/>
    <n v="156"/>
    <n v="53004"/>
    <n v="25678"/>
    <n v="105"/>
    <x v="1"/>
    <s v="#DiscoverWeekly"/>
    <m/>
    <s v="IndieWave"/>
    <n v="9.2634518149573616E-2"/>
  </r>
  <r>
    <s v="SP144"/>
    <x v="0"/>
    <x v="40"/>
    <x v="0"/>
    <s v="Discover fresh beats on Spotify!"/>
    <n v="2329"/>
    <n v="373"/>
    <n v="291"/>
    <n v="49577"/>
    <n v="28002"/>
    <n v="82"/>
    <x v="0"/>
    <s v="#SoundtrackOfLife"/>
    <s v="#NowPlaying"/>
    <s v="ChillVibes"/>
    <n v="6.0370736430199488E-2"/>
  </r>
  <r>
    <s v="SP145"/>
    <x v="1"/>
    <x v="73"/>
    <x v="1"/>
    <s v="Top trending tracks updated daily!"/>
    <n v="4287"/>
    <n v="273"/>
    <n v="122"/>
    <n v="40792"/>
    <n v="23878"/>
    <n v="277"/>
    <x v="2"/>
    <s v="#MusicForEveryone"/>
    <s v="#NowPlaying"/>
    <s v="ChillVibes"/>
    <n v="0.11477740733477153"/>
  </r>
  <r>
    <s v="SP146"/>
    <x v="0"/>
    <x v="136"/>
    <x v="0"/>
    <s v="Discover fresh beats on Spotify!"/>
    <n v="2633"/>
    <n v="318"/>
    <n v="380"/>
    <n v="40869"/>
    <n v="64474"/>
    <n v="245"/>
    <x v="1"/>
    <s v="#DiscoverWeekly"/>
    <m/>
    <s v="IndieWave"/>
    <n v="8.1504318676747664E-2"/>
  </r>
  <r>
    <s v="SP147"/>
    <x v="1"/>
    <x v="137"/>
    <x v="1"/>
    <s v="Discover fresh beats on Spotify!"/>
    <n v="2383"/>
    <n v="136"/>
    <n v="302"/>
    <n v="39187"/>
    <n v="22133"/>
    <n v="208"/>
    <x v="2"/>
    <s v="#MusicForEveryone"/>
    <s v="#NowPlaying"/>
    <s v="ChillVibes"/>
    <n v="7.1988159338556151E-2"/>
  </r>
  <r>
    <s v="SP148"/>
    <x v="1"/>
    <x v="138"/>
    <x v="1"/>
    <s v="Your weekend playlist is waiting."/>
    <n v="4752"/>
    <n v="334"/>
    <n v="56"/>
    <n v="48017"/>
    <n v="55534"/>
    <n v="270"/>
    <x v="4"/>
    <s v="#DiscoverWeekly"/>
    <s v="#MusicForEveryone"/>
    <s v="ChillVibes"/>
    <n v="0.10708707332819627"/>
  </r>
  <r>
    <s v="SP149"/>
    <x v="1"/>
    <x v="139"/>
    <x v="0"/>
    <s v="From pop to podcasts, its all here."/>
    <n v="3890"/>
    <n v="408"/>
    <n v="338"/>
    <n v="56994"/>
    <n v="32621"/>
    <n v="286"/>
    <x v="6"/>
    <s v="#SoundtrackOfLife"/>
    <m/>
    <s v="IndieWave"/>
    <n v="8.1341895638137346E-2"/>
  </r>
  <r>
    <s v="SP150"/>
    <x v="1"/>
    <x v="140"/>
    <x v="1"/>
    <s v="Your weekend playlist is waiting."/>
    <n v="2311"/>
    <n v="207"/>
    <n v="363"/>
    <n v="30349"/>
    <n v="32925"/>
    <n v="88"/>
    <x v="2"/>
    <s v="#MusicForEveryone"/>
    <s v="#NowPlaying"/>
    <s v="ChillVibes"/>
    <n v="9.4928992718046723E-2"/>
  </r>
  <r>
    <s v="SP151"/>
    <x v="0"/>
    <x v="50"/>
    <x v="1"/>
    <s v="Discover fresh beats on Spotify!"/>
    <n v="2962"/>
    <n v="400"/>
    <n v="280"/>
    <n v="52508"/>
    <n v="58329"/>
    <n v="219"/>
    <x v="5"/>
    <s v="#NowPlaying"/>
    <m/>
    <s v="Wrapped2024"/>
    <n v="6.9360859297630834E-2"/>
  </r>
  <r>
    <s v="SP152"/>
    <x v="0"/>
    <x v="141"/>
    <x v="0"/>
    <s v="Discover fresh beats on Spotify!"/>
    <n v="3118"/>
    <n v="116"/>
    <n v="195"/>
    <n v="37100"/>
    <n v="62629"/>
    <n v="272"/>
    <x v="1"/>
    <s v="#DiscoverWeekly"/>
    <m/>
    <s v="IndieWave"/>
    <n v="9.2425876010781671E-2"/>
  </r>
  <r>
    <s v="SP153"/>
    <x v="1"/>
    <x v="142"/>
    <x v="1"/>
    <s v="Explore the latest podcasts now."/>
    <n v="3805"/>
    <n v="453"/>
    <n v="63"/>
    <n v="52395"/>
    <n v="72934"/>
    <n v="87"/>
    <x v="4"/>
    <s v="#DiscoverWeekly"/>
    <s v="#MusicForEveryone"/>
    <s v="ChillVibes"/>
    <n v="8.2469701307376658E-2"/>
  </r>
  <r>
    <s v="SP154"/>
    <x v="0"/>
    <x v="128"/>
    <x v="0"/>
    <s v="What's your vibe today? #SpotifyHits"/>
    <n v="2525"/>
    <n v="272"/>
    <n v="294"/>
    <n v="51875"/>
    <n v="24732"/>
    <n v="92"/>
    <x v="1"/>
    <s v="#DiscoverWeekly"/>
    <m/>
    <s v="IndieWave"/>
    <n v="5.9585542168674697E-2"/>
  </r>
  <r>
    <s v="SP155"/>
    <x v="0"/>
    <x v="143"/>
    <x v="0"/>
    <s v="Music that moves you only on Spotify."/>
    <n v="3563"/>
    <n v="483"/>
    <n v="227"/>
    <n v="41085"/>
    <n v="26393"/>
    <n v="236"/>
    <x v="0"/>
    <s v="#SoundtrackOfLife"/>
    <s v="#NowPlaying"/>
    <s v="ChillVibes"/>
    <n v="0.10400389436534015"/>
  </r>
  <r>
    <s v="SP156"/>
    <x v="2"/>
    <x v="144"/>
    <x v="2"/>
    <s v="What's your vibe today? #SpotifyHits"/>
    <n v="1437"/>
    <n v="494"/>
    <n v="129"/>
    <n v="53048"/>
    <n v="44090"/>
    <n v="230"/>
    <x v="7"/>
    <s v="#DiscoverWeekly"/>
    <s v="#SoundtrackOfLife"/>
    <s v="SummerBeats"/>
    <n v="3.8832755240536872E-2"/>
  </r>
  <r>
    <s v="SP157"/>
    <x v="2"/>
    <x v="145"/>
    <x v="0"/>
    <s v="From pop to podcasts, its all here."/>
    <n v="4425"/>
    <n v="185"/>
    <n v="162"/>
    <n v="24610"/>
    <n v="21342"/>
    <n v="158"/>
    <x v="3"/>
    <s v="#DiscoverWeekly"/>
    <s v="#SpotifyWrapped"/>
    <s v="IndieWave"/>
    <n v="0.19390491670052823"/>
  </r>
  <r>
    <s v="SP158"/>
    <x v="1"/>
    <x v="146"/>
    <x v="1"/>
    <s v="New music just dropped. Hit play!"/>
    <n v="4609"/>
    <n v="427"/>
    <n v="395"/>
    <n v="33698"/>
    <n v="29259"/>
    <n v="216"/>
    <x v="4"/>
    <s v="#DiscoverWeekly"/>
    <s v="#MusicForEveryone"/>
    <s v="ChillVibes"/>
    <n v="0.16116683482699271"/>
  </r>
  <r>
    <s v="SP159"/>
    <x v="0"/>
    <x v="147"/>
    <x v="1"/>
    <s v="Get into the groove with our new drop!"/>
    <n v="1558"/>
    <n v="352"/>
    <n v="202"/>
    <n v="25405"/>
    <n v="69941"/>
    <n v="219"/>
    <x v="5"/>
    <s v="#NowPlaying"/>
    <m/>
    <s v="Wrapped2024"/>
    <n v="8.3133241487896081E-2"/>
  </r>
  <r>
    <s v="SP160"/>
    <x v="2"/>
    <x v="148"/>
    <x v="2"/>
    <s v="Top trending tracks updated daily!"/>
    <n v="1889"/>
    <n v="298"/>
    <n v="122"/>
    <n v="46225"/>
    <n v="74305"/>
    <n v="293"/>
    <x v="7"/>
    <s v="#DiscoverWeekly"/>
    <s v="#SoundtrackOfLife"/>
    <s v="SummerBeats"/>
    <n v="4.9951325040562468E-2"/>
  </r>
  <r>
    <s v="SP161"/>
    <x v="0"/>
    <x v="149"/>
    <x v="0"/>
    <s v="Discover fresh beats on Spotify!"/>
    <n v="3086"/>
    <n v="148"/>
    <n v="310"/>
    <n v="22824"/>
    <n v="58103"/>
    <n v="275"/>
    <x v="1"/>
    <s v="#DiscoverWeekly"/>
    <m/>
    <s v="IndieWave"/>
    <n v="0.1552751489660007"/>
  </r>
  <r>
    <s v="SP162"/>
    <x v="0"/>
    <x v="150"/>
    <x v="0"/>
    <s v="Music that moves you only on Spotify."/>
    <n v="2422"/>
    <n v="318"/>
    <n v="118"/>
    <n v="25386"/>
    <n v="20873"/>
    <n v="100"/>
    <x v="0"/>
    <s v="#SoundtrackOfLife"/>
    <s v="#NowPlaying"/>
    <s v="ChillVibes"/>
    <n v="0.11258173796580792"/>
  </r>
  <r>
    <s v="SP163"/>
    <x v="2"/>
    <x v="151"/>
    <x v="2"/>
    <s v="From pop to podcasts, its all here."/>
    <n v="3414"/>
    <n v="154"/>
    <n v="204"/>
    <n v="34146"/>
    <n v="44633"/>
    <n v="256"/>
    <x v="7"/>
    <s v="#DiscoverWeekly"/>
    <s v="#SoundtrackOfLife"/>
    <s v="SummerBeats"/>
    <n v="0.11046681895390383"/>
  </r>
  <r>
    <s v="SP164"/>
    <x v="0"/>
    <x v="152"/>
    <x v="1"/>
    <s v="What's your vibe today? #SpotifyHits"/>
    <n v="1342"/>
    <n v="332"/>
    <n v="163"/>
    <n v="51712"/>
    <n v="57922"/>
    <n v="168"/>
    <x v="5"/>
    <s v="#NowPlaying"/>
    <m/>
    <s v="Wrapped2024"/>
    <n v="3.5523669554455448E-2"/>
  </r>
  <r>
    <s v="SP165"/>
    <x v="0"/>
    <x v="52"/>
    <x v="1"/>
    <s v="Music that moves you only on Spotify."/>
    <n v="2414"/>
    <n v="220"/>
    <n v="280"/>
    <n v="27355"/>
    <n v="50562"/>
    <n v="258"/>
    <x v="5"/>
    <s v="#NowPlaying"/>
    <m/>
    <s v="Wrapped2024"/>
    <n v="0.10652531529884847"/>
  </r>
  <r>
    <s v="SP166"/>
    <x v="0"/>
    <x v="129"/>
    <x v="0"/>
    <s v="New music just dropped. Hit play!"/>
    <n v="4383"/>
    <n v="352"/>
    <n v="176"/>
    <n v="53239"/>
    <n v="34168"/>
    <n v="288"/>
    <x v="1"/>
    <s v="#DiscoverWeekly"/>
    <m/>
    <s v="IndieWave"/>
    <n v="9.2244407295403744E-2"/>
  </r>
  <r>
    <s v="SP167"/>
    <x v="2"/>
    <x v="153"/>
    <x v="0"/>
    <s v="Wrapped is here! Relive your top tracks "/>
    <n v="4294"/>
    <n v="423"/>
    <n v="93"/>
    <n v="29828"/>
    <n v="73144"/>
    <n v="298"/>
    <x v="3"/>
    <s v="#DiscoverWeekly"/>
    <s v="#SpotifyWrapped"/>
    <s v="IndieWave"/>
    <n v="0.1612578785034196"/>
  </r>
  <r>
    <s v="SP168"/>
    <x v="0"/>
    <x v="154"/>
    <x v="0"/>
    <s v="Top trending tracks updated daily!"/>
    <n v="2762"/>
    <n v="339"/>
    <n v="323"/>
    <n v="33757"/>
    <n v="68511"/>
    <n v="121"/>
    <x v="0"/>
    <s v="#SoundtrackOfLife"/>
    <s v="#NowPlaying"/>
    <s v="ChillVibes"/>
    <n v="0.10143081434961637"/>
  </r>
  <r>
    <s v="SP169"/>
    <x v="2"/>
    <x v="79"/>
    <x v="0"/>
    <s v="New music just dropped. Hit play!"/>
    <n v="3782"/>
    <n v="484"/>
    <n v="144"/>
    <n v="52172"/>
    <n v="59386"/>
    <n v="175"/>
    <x v="3"/>
    <s v="#DiscoverWeekly"/>
    <s v="#SpotifyWrapped"/>
    <s v="IndieWave"/>
    <n v="8.4528099363643333E-2"/>
  </r>
  <r>
    <s v="SP170"/>
    <x v="1"/>
    <x v="155"/>
    <x v="0"/>
    <s v="New music just dropped. Hit play!"/>
    <n v="4318"/>
    <n v="371"/>
    <n v="329"/>
    <n v="32347"/>
    <n v="68956"/>
    <n v="259"/>
    <x v="6"/>
    <s v="#SoundtrackOfLife"/>
    <m/>
    <s v="IndieWave"/>
    <n v="0.15513030574705536"/>
  </r>
  <r>
    <s v="SP171"/>
    <x v="0"/>
    <x v="156"/>
    <x v="1"/>
    <s v="Wrapped is here! Relive your top tracks "/>
    <n v="2335"/>
    <n v="150"/>
    <n v="75"/>
    <n v="26114"/>
    <n v="57549"/>
    <n v="135"/>
    <x v="5"/>
    <s v="#NowPlaying"/>
    <m/>
    <s v="Wrapped2024"/>
    <n v="9.8031707130274953E-2"/>
  </r>
  <r>
    <s v="SP172"/>
    <x v="2"/>
    <x v="157"/>
    <x v="0"/>
    <s v="Explore the latest podcasts now."/>
    <n v="4023"/>
    <n v="293"/>
    <n v="91"/>
    <n v="26795"/>
    <n v="28924"/>
    <n v="278"/>
    <x v="3"/>
    <s v="#DiscoverWeekly"/>
    <s v="#SpotifyWrapped"/>
    <s v="IndieWave"/>
    <n v="0.16447098339242397"/>
  </r>
  <r>
    <s v="SP173"/>
    <x v="0"/>
    <x v="158"/>
    <x v="0"/>
    <s v="Get into the groove with our new drop!"/>
    <n v="3948"/>
    <n v="151"/>
    <n v="249"/>
    <n v="43147"/>
    <n v="63136"/>
    <n v="230"/>
    <x v="1"/>
    <s v="#DiscoverWeekly"/>
    <m/>
    <s v="IndieWave"/>
    <n v="0.10077178019329269"/>
  </r>
  <r>
    <s v="SP174"/>
    <x v="2"/>
    <x v="159"/>
    <x v="0"/>
    <s v="Wrapped is here! Relive your top tracks "/>
    <n v="4598"/>
    <n v="455"/>
    <n v="378"/>
    <n v="52952"/>
    <n v="58504"/>
    <n v="269"/>
    <x v="3"/>
    <s v="#DiscoverWeekly"/>
    <s v="#SpotifyWrapped"/>
    <s v="IndieWave"/>
    <n v="0.10256458679558846"/>
  </r>
  <r>
    <s v="SP175"/>
    <x v="1"/>
    <x v="160"/>
    <x v="1"/>
    <s v="Music that moves you only on Spotify."/>
    <n v="2665"/>
    <n v="143"/>
    <n v="315"/>
    <n v="54808"/>
    <n v="29818"/>
    <n v="98"/>
    <x v="4"/>
    <s v="#DiscoverWeekly"/>
    <s v="#MusicForEveryone"/>
    <s v="ChillVibes"/>
    <n v="5.6980732739746021E-2"/>
  </r>
  <r>
    <s v="SP176"/>
    <x v="0"/>
    <x v="161"/>
    <x v="0"/>
    <s v="Top trending tracks updated daily!"/>
    <n v="3469"/>
    <n v="371"/>
    <n v="76"/>
    <n v="46493"/>
    <n v="26906"/>
    <n v="150"/>
    <x v="0"/>
    <s v="#SoundtrackOfLife"/>
    <s v="#NowPlaying"/>
    <s v="ChillVibes"/>
    <n v="8.4227733207149463E-2"/>
  </r>
  <r>
    <s v="SP177"/>
    <x v="1"/>
    <x v="162"/>
    <x v="0"/>
    <s v="Explore the latest podcasts now."/>
    <n v="4823"/>
    <n v="489"/>
    <n v="302"/>
    <n v="32470"/>
    <n v="31861"/>
    <n v="178"/>
    <x v="6"/>
    <s v="#SoundtrackOfLife"/>
    <m/>
    <s v="IndieWave"/>
    <n v="0.1728980597474592"/>
  </r>
  <r>
    <s v="SP178"/>
    <x v="0"/>
    <x v="163"/>
    <x v="1"/>
    <s v="From pop to podcasts, its all here."/>
    <n v="3812"/>
    <n v="321"/>
    <n v="289"/>
    <n v="59838"/>
    <n v="36337"/>
    <n v="161"/>
    <x v="5"/>
    <s v="#NowPlaying"/>
    <m/>
    <s v="Wrapped2024"/>
    <n v="7.3899528727564417E-2"/>
  </r>
  <r>
    <s v="SP179"/>
    <x v="1"/>
    <x v="128"/>
    <x v="0"/>
    <s v="Explore the latest podcasts now."/>
    <n v="2387"/>
    <n v="353"/>
    <n v="78"/>
    <n v="39745"/>
    <n v="69226"/>
    <n v="208"/>
    <x v="6"/>
    <s v="#SoundtrackOfLife"/>
    <m/>
    <s v="IndieWave"/>
    <n v="7.090200025160398E-2"/>
  </r>
  <r>
    <s v="SP180"/>
    <x v="1"/>
    <x v="114"/>
    <x v="1"/>
    <s v="Wrapped is here! Relive your top tracks "/>
    <n v="3929"/>
    <n v="275"/>
    <n v="330"/>
    <n v="58329"/>
    <n v="33196"/>
    <n v="85"/>
    <x v="2"/>
    <s v="#MusicForEveryone"/>
    <s v="#NowPlaying"/>
    <s v="ChillVibes"/>
    <n v="7.7731488624869283E-2"/>
  </r>
  <r>
    <s v="SP181"/>
    <x v="1"/>
    <x v="164"/>
    <x v="0"/>
    <s v="From pop to podcasts, its all here."/>
    <n v="2191"/>
    <n v="288"/>
    <n v="83"/>
    <n v="59606"/>
    <n v="24765"/>
    <n v="281"/>
    <x v="6"/>
    <s v="#SoundtrackOfLife"/>
    <m/>
    <s v="IndieWave"/>
    <n v="4.2982250109049422E-2"/>
  </r>
  <r>
    <s v="SP182"/>
    <x v="0"/>
    <x v="164"/>
    <x v="0"/>
    <s v="From pop to podcasts, its all here."/>
    <n v="2878"/>
    <n v="278"/>
    <n v="255"/>
    <n v="47235"/>
    <n v="57922"/>
    <n v="112"/>
    <x v="0"/>
    <s v="#SoundtrackOfLife"/>
    <s v="#NowPlaying"/>
    <s v="ChillVibes"/>
    <n v="7.2213401079707848E-2"/>
  </r>
  <r>
    <s v="SP183"/>
    <x v="1"/>
    <x v="165"/>
    <x v="0"/>
    <s v="Top trending tracks updated daily!"/>
    <n v="3204"/>
    <n v="398"/>
    <n v="85"/>
    <n v="22020"/>
    <n v="58353"/>
    <n v="286"/>
    <x v="6"/>
    <s v="#SoundtrackOfLife"/>
    <m/>
    <s v="IndieWave"/>
    <n v="0.16743869209809265"/>
  </r>
  <r>
    <s v="SP184"/>
    <x v="1"/>
    <x v="166"/>
    <x v="1"/>
    <s v="Get into the groove with our new drop!"/>
    <n v="2408"/>
    <n v="323"/>
    <n v="251"/>
    <n v="47599"/>
    <n v="35543"/>
    <n v="287"/>
    <x v="2"/>
    <s v="#MusicForEveryone"/>
    <s v="#NowPlaying"/>
    <s v="ChillVibes"/>
    <n v="6.2648374965860634E-2"/>
  </r>
  <r>
    <s v="SP185"/>
    <x v="2"/>
    <x v="47"/>
    <x v="2"/>
    <s v="New music just dropped. Hit play!"/>
    <n v="2733"/>
    <n v="297"/>
    <n v="235"/>
    <n v="37980"/>
    <n v="33058"/>
    <n v="219"/>
    <x v="7"/>
    <s v="#DiscoverWeekly"/>
    <s v="#SoundtrackOfLife"/>
    <s v="SummerBeats"/>
    <n v="8.5966298051606105E-2"/>
  </r>
  <r>
    <s v="SP186"/>
    <x v="1"/>
    <x v="167"/>
    <x v="1"/>
    <s v="Explore the latest podcasts now."/>
    <n v="4618"/>
    <n v="312"/>
    <n v="254"/>
    <n v="22571"/>
    <n v="29453"/>
    <n v="197"/>
    <x v="2"/>
    <s v="#MusicForEveryone"/>
    <s v="#NowPlaying"/>
    <s v="ChillVibes"/>
    <n v="0.22967524699836073"/>
  </r>
  <r>
    <s v="SP187"/>
    <x v="2"/>
    <x v="168"/>
    <x v="2"/>
    <s v="Wrapped is here! Relive your top tracks "/>
    <n v="4210"/>
    <n v="319"/>
    <n v="350"/>
    <n v="37762"/>
    <n v="55162"/>
    <n v="204"/>
    <x v="7"/>
    <s v="#DiscoverWeekly"/>
    <s v="#SoundtrackOfLife"/>
    <s v="SummerBeats"/>
    <n v="0.12920396165457337"/>
  </r>
  <r>
    <s v="SP188"/>
    <x v="0"/>
    <x v="169"/>
    <x v="0"/>
    <s v="Wrapped is here! Relive your top tracks "/>
    <n v="3987"/>
    <n v="171"/>
    <n v="274"/>
    <n v="45122"/>
    <n v="65431"/>
    <n v="168"/>
    <x v="1"/>
    <s v="#DiscoverWeekly"/>
    <m/>
    <s v="IndieWave"/>
    <n v="9.8222596516111871E-2"/>
  </r>
  <r>
    <s v="SP189"/>
    <x v="2"/>
    <x v="170"/>
    <x v="2"/>
    <s v="Get into the groove with our new drop!"/>
    <n v="4957"/>
    <n v="262"/>
    <n v="365"/>
    <n v="49199"/>
    <n v="40314"/>
    <n v="216"/>
    <x v="7"/>
    <s v="#DiscoverWeekly"/>
    <s v="#SoundtrackOfLife"/>
    <s v="SummerBeats"/>
    <n v="0.11349824183418362"/>
  </r>
  <r>
    <s v="SP190"/>
    <x v="0"/>
    <x v="171"/>
    <x v="0"/>
    <s v="Music that moves you only on Spotify."/>
    <n v="2605"/>
    <n v="282"/>
    <n v="148"/>
    <n v="32201"/>
    <n v="49583"/>
    <n v="241"/>
    <x v="0"/>
    <s v="#SoundtrackOfLife"/>
    <s v="#NowPlaying"/>
    <s v="ChillVibes"/>
    <n v="9.4251731312692155E-2"/>
  </r>
  <r>
    <s v="SP191"/>
    <x v="2"/>
    <x v="115"/>
    <x v="2"/>
    <s v="Discover fresh beats on Spotify!"/>
    <n v="4221"/>
    <n v="307"/>
    <n v="58"/>
    <n v="45080"/>
    <n v="37214"/>
    <n v="240"/>
    <x v="7"/>
    <s v="#DiscoverWeekly"/>
    <s v="#SoundtrackOfLife"/>
    <s v="SummerBeats"/>
    <n v="0.10173025732031943"/>
  </r>
  <r>
    <s v="SP192"/>
    <x v="1"/>
    <x v="172"/>
    <x v="1"/>
    <s v="What's your vibe today? #SpotifyHits"/>
    <n v="4422"/>
    <n v="434"/>
    <n v="156"/>
    <n v="56165"/>
    <n v="52431"/>
    <n v="173"/>
    <x v="4"/>
    <s v="#DiscoverWeekly"/>
    <s v="#MusicForEveryone"/>
    <s v="ChillVibes"/>
    <n v="8.9237069349238848E-2"/>
  </r>
  <r>
    <s v="SP193"/>
    <x v="2"/>
    <x v="158"/>
    <x v="2"/>
    <s v="Wrapped is here! Relive your top tracks "/>
    <n v="1211"/>
    <n v="431"/>
    <n v="83"/>
    <n v="26532"/>
    <n v="47305"/>
    <n v="232"/>
    <x v="7"/>
    <s v="#DiscoverWeekly"/>
    <s v="#SoundtrackOfLife"/>
    <s v="SummerBeats"/>
    <n v="6.5015829941203071E-2"/>
  </r>
  <r>
    <s v="SP194"/>
    <x v="1"/>
    <x v="173"/>
    <x v="1"/>
    <s v="Explore the latest podcasts now."/>
    <n v="2784"/>
    <n v="111"/>
    <n v="399"/>
    <n v="58366"/>
    <n v="69512"/>
    <n v="269"/>
    <x v="2"/>
    <s v="#MusicForEveryone"/>
    <s v="#NowPlaying"/>
    <s v="ChillVibes"/>
    <n v="5.6436966727204191E-2"/>
  </r>
  <r>
    <s v="SP195"/>
    <x v="2"/>
    <x v="174"/>
    <x v="0"/>
    <s v="New music just dropped. Hit play!"/>
    <n v="3634"/>
    <n v="280"/>
    <n v="399"/>
    <n v="40256"/>
    <n v="52605"/>
    <n v="213"/>
    <x v="3"/>
    <s v="#DiscoverWeekly"/>
    <s v="#SpotifyWrapped"/>
    <s v="IndieWave"/>
    <n v="0.10713930842607314"/>
  </r>
  <r>
    <s v="SP196"/>
    <x v="0"/>
    <x v="175"/>
    <x v="0"/>
    <s v="From pop to podcasts, its all here."/>
    <n v="1771"/>
    <n v="487"/>
    <n v="272"/>
    <n v="48810"/>
    <n v="48084"/>
    <n v="272"/>
    <x v="0"/>
    <s v="#SoundtrackOfLife"/>
    <s v="#NowPlaying"/>
    <s v="ChillVibes"/>
    <n v="5.1833640647408315E-2"/>
  </r>
  <r>
    <s v="SP197"/>
    <x v="2"/>
    <x v="176"/>
    <x v="0"/>
    <s v="Top trending tracks updated daily!"/>
    <n v="1424"/>
    <n v="396"/>
    <n v="312"/>
    <n v="59517"/>
    <n v="46102"/>
    <n v="239"/>
    <x v="3"/>
    <s v="#DiscoverWeekly"/>
    <s v="#SpotifyWrapped"/>
    <s v="IndieWave"/>
    <n v="3.5821698002251455E-2"/>
  </r>
  <r>
    <s v="SP198"/>
    <x v="1"/>
    <x v="1"/>
    <x v="1"/>
    <s v="Top trending tracks updated daily!"/>
    <n v="1079"/>
    <n v="265"/>
    <n v="190"/>
    <n v="43786"/>
    <n v="72428"/>
    <n v="222"/>
    <x v="0"/>
    <s v="#SoundtrackOfLife"/>
    <s v="#NowPlaying"/>
    <s v="ChillVibes"/>
    <n v="3.5034029141734799E-2"/>
  </r>
  <r>
    <s v="SP199"/>
    <x v="1"/>
    <x v="177"/>
    <x v="1"/>
    <s v="Get into the groove with our new drop!"/>
    <n v="4247"/>
    <n v="179"/>
    <n v="175"/>
    <n v="32991"/>
    <n v="70120"/>
    <n v="276"/>
    <x v="0"/>
    <s v="#SoundtrackOfLife"/>
    <s v="#NowPlaying"/>
    <s v="ChillVibes"/>
    <n v="0.13946227759085811"/>
  </r>
  <r>
    <s v="SP200"/>
    <x v="1"/>
    <x v="178"/>
    <x v="0"/>
    <s v="New music just dropped. Hit play!"/>
    <n v="2033"/>
    <n v="420"/>
    <n v="94"/>
    <n v="56290"/>
    <n v="57391"/>
    <n v="196"/>
    <x v="5"/>
    <s v="#NowPlaying"/>
    <m/>
    <s v="ChillVibes"/>
    <n v="4.5247823769763724E-2"/>
  </r>
  <r>
    <s v="SP201"/>
    <x v="1"/>
    <x v="179"/>
    <x v="1"/>
    <s v="Wrapped is here! Relive your top tracks "/>
    <n v="1839"/>
    <n v="223"/>
    <n v="171"/>
    <n v="35459"/>
    <n v="69988"/>
    <n v="114"/>
    <x v="2"/>
    <s v="#MusicForEveryone"/>
    <s v="#NowPlaying"/>
    <s v="ChillVibes"/>
    <n v="6.2974139146620034E-2"/>
  </r>
  <r>
    <s v="SP202"/>
    <x v="1"/>
    <x v="68"/>
    <x v="1"/>
    <s v="Wrapped is here! Relive your top tracks "/>
    <n v="2340"/>
    <n v="141"/>
    <n v="206"/>
    <n v="24916"/>
    <n v="30582"/>
    <n v="157"/>
    <x v="0"/>
    <s v="#SoundtrackOfLife"/>
    <s v="#NowPlaying"/>
    <s v="ChillVibes"/>
    <n v="0.10784235029699792"/>
  </r>
  <r>
    <s v="SP203"/>
    <x v="0"/>
    <x v="180"/>
    <x v="0"/>
    <s v="Top trending tracks updated daily!"/>
    <n v="2080"/>
    <n v="389"/>
    <n v="92"/>
    <n v="30971"/>
    <n v="25347"/>
    <n v="111"/>
    <x v="1"/>
    <s v="#DiscoverWeekly"/>
    <m/>
    <s v="IndieWave"/>
    <n v="8.2690258629040073E-2"/>
  </r>
  <r>
    <s v="SP204"/>
    <x v="1"/>
    <x v="181"/>
    <x v="0"/>
    <s v="Get into the groove with our new drop!"/>
    <n v="4214"/>
    <n v="286"/>
    <n v="127"/>
    <n v="47293"/>
    <n v="27184"/>
    <n v="232"/>
    <x v="5"/>
    <s v="#NowPlaying"/>
    <m/>
    <s v="ChillVibes"/>
    <n v="9.7836889180216949E-2"/>
  </r>
  <r>
    <s v="SP205"/>
    <x v="1"/>
    <x v="63"/>
    <x v="0"/>
    <s v="Wrapped is here! Relive your top tracks "/>
    <n v="3792"/>
    <n v="315"/>
    <n v="120"/>
    <n v="54592"/>
    <n v="67886"/>
    <n v="117"/>
    <x v="6"/>
    <s v="#SoundtrackOfLife"/>
    <m/>
    <s v="IndieWave"/>
    <n v="7.7428927315357568E-2"/>
  </r>
  <r>
    <s v="SP206"/>
    <x v="1"/>
    <x v="182"/>
    <x v="1"/>
    <s v="Explore the latest podcasts now."/>
    <n v="3989"/>
    <n v="476"/>
    <n v="128"/>
    <n v="57569"/>
    <n v="40193"/>
    <n v="222"/>
    <x v="4"/>
    <s v="#DiscoverWeekly"/>
    <s v="#MusicForEveryone"/>
    <s v="ChillVibes"/>
    <n v="7.9782521843353188E-2"/>
  </r>
  <r>
    <s v="SP207"/>
    <x v="1"/>
    <x v="129"/>
    <x v="1"/>
    <s v="Wrapped is here! Relive your top tracks "/>
    <n v="2857"/>
    <n v="443"/>
    <n v="359"/>
    <n v="51519"/>
    <n v="28256"/>
    <n v="155"/>
    <x v="0"/>
    <s v="#SoundtrackOfLife"/>
    <s v="#NowPlaying"/>
    <s v="ChillVibes"/>
    <n v="7.1022341272152026E-2"/>
  </r>
  <r>
    <s v="SP208"/>
    <x v="1"/>
    <x v="183"/>
    <x v="0"/>
    <s v="From pop to podcasts, its all here."/>
    <n v="1403"/>
    <n v="385"/>
    <n v="344"/>
    <n v="54223"/>
    <n v="72595"/>
    <n v="239"/>
    <x v="6"/>
    <s v="#SoundtrackOfLife"/>
    <m/>
    <s v="IndieWave"/>
    <n v="3.9319108127547353E-2"/>
  </r>
  <r>
    <s v="SP209"/>
    <x v="1"/>
    <x v="184"/>
    <x v="1"/>
    <s v="What's your vibe today? #SpotifyHits"/>
    <n v="3071"/>
    <n v="126"/>
    <n v="200"/>
    <n v="44013"/>
    <n v="44679"/>
    <n v="118"/>
    <x v="4"/>
    <s v="#DiscoverWeekly"/>
    <s v="#MusicForEveryone"/>
    <s v="ChillVibes"/>
    <n v="7.7181741758116915E-2"/>
  </r>
  <r>
    <s v="SP210"/>
    <x v="1"/>
    <x v="185"/>
    <x v="1"/>
    <s v="Top trending tracks updated daily!"/>
    <n v="1010"/>
    <n v="361"/>
    <n v="240"/>
    <n v="47229"/>
    <n v="72573"/>
    <n v="275"/>
    <x v="0"/>
    <s v="#SoundtrackOfLife"/>
    <s v="#NowPlaying"/>
    <s v="ChillVibes"/>
    <n v="3.4110398272247981E-2"/>
  </r>
  <r>
    <s v="SP211"/>
    <x v="1"/>
    <x v="186"/>
    <x v="1"/>
    <s v="Discover fresh beats on Spotify!"/>
    <n v="1295"/>
    <n v="153"/>
    <n v="81"/>
    <n v="48350"/>
    <n v="61033"/>
    <n v="232"/>
    <x v="4"/>
    <s v="#DiscoverWeekly"/>
    <s v="#MusicForEveryone"/>
    <s v="ChillVibes"/>
    <n v="3.1623578076525334E-2"/>
  </r>
  <r>
    <s v="SP212"/>
    <x v="1"/>
    <x v="187"/>
    <x v="1"/>
    <s v="What's your vibe today? #SpotifyHits"/>
    <n v="1433"/>
    <n v="452"/>
    <n v="305"/>
    <n v="54541"/>
    <n v="63700"/>
    <n v="296"/>
    <x v="4"/>
    <s v="#DiscoverWeekly"/>
    <s v="#MusicForEveryone"/>
    <s v="ChillVibes"/>
    <n v="4.0153279184466734E-2"/>
  </r>
  <r>
    <s v="SP213"/>
    <x v="0"/>
    <x v="188"/>
    <x v="1"/>
    <s v="Get into the groove with our new drop!"/>
    <n v="4902"/>
    <n v="422"/>
    <n v="376"/>
    <n v="31674"/>
    <n v="53225"/>
    <n v="147"/>
    <x v="5"/>
    <s v="#NowPlaying"/>
    <m/>
    <s v="Wrapped2024"/>
    <n v="0.17995832544042431"/>
  </r>
  <r>
    <s v="SP214"/>
    <x v="1"/>
    <x v="30"/>
    <x v="0"/>
    <s v="Wrapped is here! Relive your top tracks "/>
    <n v="2659"/>
    <n v="167"/>
    <n v="73"/>
    <n v="23090"/>
    <n v="25872"/>
    <n v="293"/>
    <x v="6"/>
    <s v="#SoundtrackOfLife"/>
    <m/>
    <s v="IndieWave"/>
    <n v="0.12555218709398008"/>
  </r>
  <r>
    <s v="SP215"/>
    <x v="2"/>
    <x v="189"/>
    <x v="0"/>
    <s v="Your weekend playlist is waiting."/>
    <n v="2599"/>
    <n v="324"/>
    <n v="182"/>
    <n v="37525"/>
    <n v="37216"/>
    <n v="186"/>
    <x v="3"/>
    <s v="#DiscoverWeekly"/>
    <s v="#SpotifyWrapped"/>
    <s v="IndieWave"/>
    <n v="8.2744836775483013E-2"/>
  </r>
  <r>
    <s v="SP216"/>
    <x v="1"/>
    <x v="175"/>
    <x v="0"/>
    <s v="Music that moves you only on Spotify."/>
    <n v="1765"/>
    <n v="285"/>
    <n v="100"/>
    <n v="41313"/>
    <n v="56575"/>
    <n v="174"/>
    <x v="6"/>
    <s v="#SoundtrackOfLife"/>
    <m/>
    <s v="IndieWave"/>
    <n v="5.2041730205988429E-2"/>
  </r>
  <r>
    <s v="SP217"/>
    <x v="0"/>
    <x v="190"/>
    <x v="0"/>
    <s v="What's your vibe today? #SpotifyHits"/>
    <n v="2169"/>
    <n v="240"/>
    <n v="57"/>
    <n v="26109"/>
    <n v="46667"/>
    <n v="133"/>
    <x v="0"/>
    <s v="#SoundtrackOfLife"/>
    <s v="#NowPlaying"/>
    <s v="ChillVibes"/>
    <n v="9.4450189589796618E-2"/>
  </r>
  <r>
    <s v="SP218"/>
    <x v="1"/>
    <x v="191"/>
    <x v="1"/>
    <s v="Explore the latest podcasts now."/>
    <n v="4303"/>
    <n v="306"/>
    <n v="302"/>
    <n v="39575"/>
    <n v="33762"/>
    <n v="265"/>
    <x v="4"/>
    <s v="#DiscoverWeekly"/>
    <s v="#MusicForEveryone"/>
    <s v="ChillVibes"/>
    <n v="0.12409349336702463"/>
  </r>
  <r>
    <s v="SP219"/>
    <x v="1"/>
    <x v="192"/>
    <x v="0"/>
    <s v="From pop to podcasts, its all here."/>
    <n v="1519"/>
    <n v="456"/>
    <n v="379"/>
    <n v="51611"/>
    <n v="45880"/>
    <n v="176"/>
    <x v="6"/>
    <s v="#SoundtrackOfLife"/>
    <m/>
    <s v="IndieWave"/>
    <n v="4.5610431884675749E-2"/>
  </r>
  <r>
    <s v="SP220"/>
    <x v="2"/>
    <x v="193"/>
    <x v="0"/>
    <s v="What's your vibe today? #SpotifyHits"/>
    <n v="2569"/>
    <n v="140"/>
    <n v="375"/>
    <n v="38372"/>
    <n v="22102"/>
    <n v="255"/>
    <x v="3"/>
    <s v="#DiscoverWeekly"/>
    <s v="#SpotifyWrapped"/>
    <s v="IndieWave"/>
    <n v="8.0371103929948923E-2"/>
  </r>
  <r>
    <s v="SP221"/>
    <x v="1"/>
    <x v="194"/>
    <x v="1"/>
    <s v="Music that moves you only on Spotify."/>
    <n v="2778"/>
    <n v="241"/>
    <n v="317"/>
    <n v="26247"/>
    <n v="20677"/>
    <n v="282"/>
    <x v="2"/>
    <s v="#MusicForEveryone"/>
    <s v="#NowPlaying"/>
    <s v="ChillVibes"/>
    <n v="0.1271002400274317"/>
  </r>
  <r>
    <s v="SP222"/>
    <x v="1"/>
    <x v="195"/>
    <x v="0"/>
    <s v="Explore the latest podcasts now."/>
    <n v="3611"/>
    <n v="127"/>
    <n v="139"/>
    <n v="44768"/>
    <n v="29435"/>
    <n v="178"/>
    <x v="5"/>
    <s v="#NowPlaying"/>
    <m/>
    <s v="ChillVibes"/>
    <n v="8.6602037169406718E-2"/>
  </r>
  <r>
    <s v="SP223"/>
    <x v="1"/>
    <x v="196"/>
    <x v="0"/>
    <s v="What's your vibe today? #SpotifyHits"/>
    <n v="1224"/>
    <n v="168"/>
    <n v="199"/>
    <n v="54232"/>
    <n v="52844"/>
    <n v="271"/>
    <x v="6"/>
    <s v="#SoundtrackOfLife"/>
    <m/>
    <s v="IndieWave"/>
    <n v="2.9336922849977874E-2"/>
  </r>
  <r>
    <s v="SP224"/>
    <x v="1"/>
    <x v="193"/>
    <x v="0"/>
    <s v="From pop to podcasts, its all here."/>
    <n v="4673"/>
    <n v="270"/>
    <n v="93"/>
    <n v="45260"/>
    <n v="57513"/>
    <n v="103"/>
    <x v="5"/>
    <s v="#NowPlaying"/>
    <m/>
    <s v="ChillVibes"/>
    <n v="0.11126822801590809"/>
  </r>
  <r>
    <s v="SP225"/>
    <x v="2"/>
    <x v="197"/>
    <x v="0"/>
    <s v="Wrapped is here! Relive your top tracks "/>
    <n v="1432"/>
    <n v="437"/>
    <n v="267"/>
    <n v="40634"/>
    <n v="54511"/>
    <n v="197"/>
    <x v="3"/>
    <s v="#DiscoverWeekly"/>
    <s v="#SpotifyWrapped"/>
    <s v="IndieWave"/>
    <n v="5.2566815966924252E-2"/>
  </r>
  <r>
    <s v="SP226"/>
    <x v="1"/>
    <x v="198"/>
    <x v="1"/>
    <s v="New music just dropped. Hit play!"/>
    <n v="2174"/>
    <n v="499"/>
    <n v="212"/>
    <n v="54938"/>
    <n v="27190"/>
    <n v="265"/>
    <x v="2"/>
    <s v="#MusicForEveryone"/>
    <s v="#NowPlaying"/>
    <s v="ChillVibes"/>
    <n v="5.2513742764570971E-2"/>
  </r>
  <r>
    <s v="SP227"/>
    <x v="2"/>
    <x v="199"/>
    <x v="0"/>
    <s v="Music that moves you only on Spotify."/>
    <n v="4308"/>
    <n v="171"/>
    <n v="106"/>
    <n v="36955"/>
    <n v="23949"/>
    <n v="294"/>
    <x v="3"/>
    <s v="#DiscoverWeekly"/>
    <s v="#SpotifyWrapped"/>
    <s v="IndieWave"/>
    <n v="0.12406981463942633"/>
  </r>
  <r>
    <s v="SP228"/>
    <x v="2"/>
    <x v="140"/>
    <x v="2"/>
    <s v="What's your vibe today? #SpotifyHits"/>
    <n v="1060"/>
    <n v="442"/>
    <n v="319"/>
    <n v="57194"/>
    <n v="24258"/>
    <n v="101"/>
    <x v="7"/>
    <s v="#DiscoverWeekly"/>
    <s v="#SoundtrackOfLife"/>
    <s v="SummerBeats"/>
    <n v="3.1839004091338254E-2"/>
  </r>
  <r>
    <s v="SP229"/>
    <x v="2"/>
    <x v="115"/>
    <x v="0"/>
    <s v="Music that moves you only on Spotify."/>
    <n v="4653"/>
    <n v="226"/>
    <n v="349"/>
    <n v="56876"/>
    <n v="28452"/>
    <n v="257"/>
    <x v="3"/>
    <s v="#DiscoverWeekly"/>
    <s v="#SpotifyWrapped"/>
    <s v="IndieWave"/>
    <n v="9.191926295801392E-2"/>
  </r>
  <r>
    <s v="SP230"/>
    <x v="2"/>
    <x v="23"/>
    <x v="0"/>
    <s v="Discover fresh beats on Spotify!"/>
    <n v="1701"/>
    <n v="272"/>
    <n v="385"/>
    <n v="47496"/>
    <n v="40832"/>
    <n v="246"/>
    <x v="3"/>
    <s v="#DiscoverWeekly"/>
    <s v="#SpotifyWrapped"/>
    <s v="IndieWave"/>
    <n v="4.9646286003031836E-2"/>
  </r>
  <r>
    <s v="SP231"/>
    <x v="0"/>
    <x v="65"/>
    <x v="0"/>
    <s v="What's your vibe today? #SpotifyHits"/>
    <n v="1673"/>
    <n v="280"/>
    <n v="67"/>
    <n v="29847"/>
    <n v="48016"/>
    <n v="213"/>
    <x v="0"/>
    <s v="#SoundtrackOfLife"/>
    <s v="#NowPlaying"/>
    <s v="ChillVibes"/>
    <n v="6.76784936509532E-2"/>
  </r>
  <r>
    <s v="SP232"/>
    <x v="2"/>
    <x v="77"/>
    <x v="0"/>
    <s v="Top trending tracks updated daily!"/>
    <n v="4310"/>
    <n v="284"/>
    <n v="306"/>
    <n v="44606"/>
    <n v="42604"/>
    <n v="290"/>
    <x v="3"/>
    <s v="#DiscoverWeekly"/>
    <s v="#SpotifyWrapped"/>
    <s v="IndieWave"/>
    <n v="0.10985069273191947"/>
  </r>
  <r>
    <s v="SP233"/>
    <x v="1"/>
    <x v="200"/>
    <x v="0"/>
    <s v="From pop to podcasts, its all here."/>
    <n v="2752"/>
    <n v="309"/>
    <n v="91"/>
    <n v="39038"/>
    <n v="28095"/>
    <n v="277"/>
    <x v="5"/>
    <s v="#NowPlaying"/>
    <m/>
    <s v="ChillVibes"/>
    <n v="8.0741841282852611E-2"/>
  </r>
  <r>
    <s v="SP234"/>
    <x v="1"/>
    <x v="201"/>
    <x v="0"/>
    <s v="From pop to podcasts, its all here."/>
    <n v="3818"/>
    <n v="115"/>
    <n v="286"/>
    <n v="25127"/>
    <n v="22277"/>
    <n v="263"/>
    <x v="5"/>
    <s v="#NowPlaying"/>
    <m/>
    <s v="ChillVibes"/>
    <n v="0.16790703227603773"/>
  </r>
  <r>
    <s v="SP235"/>
    <x v="2"/>
    <x v="102"/>
    <x v="0"/>
    <s v="Your weekend playlist is waiting."/>
    <n v="2101"/>
    <n v="411"/>
    <n v="190"/>
    <n v="41791"/>
    <n v="57090"/>
    <n v="172"/>
    <x v="3"/>
    <s v="#DiscoverWeekly"/>
    <s v="#SpotifyWrapped"/>
    <s v="IndieWave"/>
    <n v="6.4655069273288512E-2"/>
  </r>
  <r>
    <s v="SP236"/>
    <x v="0"/>
    <x v="202"/>
    <x v="0"/>
    <s v="Discover fresh beats on Spotify!"/>
    <n v="2519"/>
    <n v="202"/>
    <n v="239"/>
    <n v="36245"/>
    <n v="48606"/>
    <n v="145"/>
    <x v="1"/>
    <s v="#DiscoverWeekly"/>
    <m/>
    <s v="IndieWave"/>
    <n v="8.1666436749896543E-2"/>
  </r>
  <r>
    <s v="SP237"/>
    <x v="2"/>
    <x v="174"/>
    <x v="0"/>
    <s v="What's your vibe today? #SpotifyHits"/>
    <n v="4502"/>
    <n v="238"/>
    <n v="386"/>
    <n v="39198"/>
    <n v="25050"/>
    <n v="297"/>
    <x v="3"/>
    <s v="#DiscoverWeekly"/>
    <s v="#SpotifyWrapped"/>
    <s v="IndieWave"/>
    <n v="0.13077197816215114"/>
  </r>
  <r>
    <s v="SP238"/>
    <x v="0"/>
    <x v="7"/>
    <x v="0"/>
    <s v="Explore the latest podcasts now."/>
    <n v="2478"/>
    <n v="427"/>
    <n v="242"/>
    <n v="59272"/>
    <n v="37833"/>
    <n v="214"/>
    <x v="0"/>
    <s v="#SoundtrackOfLife"/>
    <s v="#NowPlaying"/>
    <s v="ChillVibes"/>
    <n v="5.3094209744904843E-2"/>
  </r>
  <r>
    <s v="SP239"/>
    <x v="1"/>
    <x v="203"/>
    <x v="1"/>
    <s v="New music just dropped. Hit play!"/>
    <n v="4984"/>
    <n v="300"/>
    <n v="338"/>
    <n v="32900"/>
    <n v="31691"/>
    <n v="160"/>
    <x v="2"/>
    <s v="#MusicForEveryone"/>
    <s v="#NowPlaying"/>
    <s v="ChillVibes"/>
    <n v="0.17088145896656534"/>
  </r>
  <r>
    <s v="SP240"/>
    <x v="2"/>
    <x v="46"/>
    <x v="0"/>
    <s v="Wrapped is here! Relive your top tracks "/>
    <n v="4774"/>
    <n v="389"/>
    <n v="358"/>
    <n v="52346"/>
    <n v="30518"/>
    <n v="277"/>
    <x v="3"/>
    <s v="#DiscoverWeekly"/>
    <s v="#SpotifyWrapped"/>
    <s v="IndieWave"/>
    <n v="0.10547128720437092"/>
  </r>
  <r>
    <s v="SP241"/>
    <x v="1"/>
    <x v="204"/>
    <x v="0"/>
    <s v="Get into the groove with our new drop!"/>
    <n v="2145"/>
    <n v="340"/>
    <n v="85"/>
    <n v="53323"/>
    <n v="49938"/>
    <n v="104"/>
    <x v="5"/>
    <s v="#NowPlaying"/>
    <m/>
    <s v="ChillVibes"/>
    <n v="4.819683813738912E-2"/>
  </r>
  <r>
    <s v="SP242"/>
    <x v="1"/>
    <x v="205"/>
    <x v="1"/>
    <s v="From pop to podcasts, its all here."/>
    <n v="4315"/>
    <n v="208"/>
    <n v="273"/>
    <n v="35780"/>
    <n v="44349"/>
    <n v="133"/>
    <x v="4"/>
    <s v="#DiscoverWeekly"/>
    <s v="#MusicForEveryone"/>
    <s v="ChillVibes"/>
    <n v="0.13404136389044158"/>
  </r>
  <r>
    <s v="SP243"/>
    <x v="1"/>
    <x v="193"/>
    <x v="1"/>
    <s v="Wrapped is here! Relive your top tracks "/>
    <n v="2267"/>
    <n v="230"/>
    <n v="243"/>
    <n v="27904"/>
    <n v="69771"/>
    <n v="255"/>
    <x v="4"/>
    <s v="#DiscoverWeekly"/>
    <s v="#MusicForEveryone"/>
    <s v="ChillVibes"/>
    <n v="9.8193807339449546E-2"/>
  </r>
  <r>
    <s v="SP244"/>
    <x v="2"/>
    <x v="206"/>
    <x v="0"/>
    <s v="Music that moves you only on Spotify."/>
    <n v="4375"/>
    <n v="303"/>
    <n v="294"/>
    <n v="57468"/>
    <n v="53397"/>
    <n v="159"/>
    <x v="3"/>
    <s v="#DiscoverWeekly"/>
    <s v="#SpotifyWrapped"/>
    <s v="IndieWave"/>
    <n v="8.6517714206166912E-2"/>
  </r>
  <r>
    <s v="SP245"/>
    <x v="1"/>
    <x v="31"/>
    <x v="1"/>
    <s v="Your weekend playlist is waiting."/>
    <n v="3817"/>
    <n v="284"/>
    <n v="204"/>
    <n v="46434"/>
    <n v="53396"/>
    <n v="104"/>
    <x v="2"/>
    <s v="#MusicForEveryone"/>
    <s v="#NowPlaying"/>
    <s v="ChillVibes"/>
    <n v="9.2712236723090841E-2"/>
  </r>
  <r>
    <s v="SP246"/>
    <x v="1"/>
    <x v="207"/>
    <x v="1"/>
    <s v="Top trending tracks updated daily!"/>
    <n v="2981"/>
    <n v="258"/>
    <n v="168"/>
    <n v="20677"/>
    <n v="68290"/>
    <n v="130"/>
    <x v="0"/>
    <s v="#SoundtrackOfLife"/>
    <s v="#NowPlaying"/>
    <s v="ChillVibes"/>
    <n v="0.16477245248343569"/>
  </r>
  <r>
    <s v="SP247"/>
    <x v="1"/>
    <x v="172"/>
    <x v="1"/>
    <s v="Your weekend playlist is waiting."/>
    <n v="3300"/>
    <n v="354"/>
    <n v="397"/>
    <n v="56773"/>
    <n v="72110"/>
    <n v="163"/>
    <x v="4"/>
    <s v="#DiscoverWeekly"/>
    <s v="#MusicForEveryone"/>
    <s v="ChillVibes"/>
    <n v="7.1354340971940891E-2"/>
  </r>
  <r>
    <s v="SP248"/>
    <x v="2"/>
    <x v="208"/>
    <x v="2"/>
    <s v="Wrapped is here! Relive your top tracks "/>
    <n v="4722"/>
    <n v="310"/>
    <n v="344"/>
    <n v="27911"/>
    <n v="19000"/>
    <n v="225"/>
    <x v="7"/>
    <s v="#DiscoverWeekly"/>
    <s v="#SoundtrackOfLife"/>
    <s v="SummerBeats"/>
    <n v="0.19261223173659131"/>
  </r>
  <r>
    <s v="SP249"/>
    <x v="0"/>
    <x v="9"/>
    <x v="0"/>
    <s v="What's your vibe today? #SpotifyHits"/>
    <n v="3529"/>
    <n v="263"/>
    <n v="107"/>
    <n v="26570"/>
    <n v="19367"/>
    <n v="96"/>
    <x v="1"/>
    <s v="#DiscoverWeekly"/>
    <m/>
    <s v="IndieWave"/>
    <n v="0.14674444862627023"/>
  </r>
  <r>
    <s v="SP250"/>
    <x v="1"/>
    <x v="126"/>
    <x v="0"/>
    <s v="Your weekend playlist is waiting."/>
    <n v="4782"/>
    <n v="210"/>
    <n v="311"/>
    <n v="29793"/>
    <n v="37543"/>
    <n v="145"/>
    <x v="5"/>
    <s v="#NowPlaying"/>
    <m/>
    <s v="ChillVibes"/>
    <n v="0.17799483100057059"/>
  </r>
  <r>
    <s v="SP251"/>
    <x v="1"/>
    <x v="60"/>
    <x v="0"/>
    <s v="What's your vibe today? #SpotifyHits"/>
    <n v="1848"/>
    <n v="417"/>
    <n v="294"/>
    <n v="57819"/>
    <n v="19798"/>
    <n v="262"/>
    <x v="6"/>
    <s v="#SoundtrackOfLife"/>
    <m/>
    <s v="IndieWave"/>
    <n v="4.4258807658382193E-2"/>
  </r>
  <r>
    <s v="SP252"/>
    <x v="2"/>
    <x v="96"/>
    <x v="0"/>
    <s v="New music just dropped. Hit play!"/>
    <n v="4676"/>
    <n v="211"/>
    <n v="55"/>
    <n v="45917"/>
    <n v="73503"/>
    <n v="248"/>
    <x v="3"/>
    <s v="#DiscoverWeekly"/>
    <s v="#SpotifyWrapped"/>
    <s v="IndieWave"/>
    <n v="0.10762898272970794"/>
  </r>
  <r>
    <s v="SP253"/>
    <x v="2"/>
    <x v="209"/>
    <x v="0"/>
    <s v="From pop to podcasts, its all here."/>
    <n v="1994"/>
    <n v="197"/>
    <n v="290"/>
    <n v="49500"/>
    <n v="23343"/>
    <n v="160"/>
    <x v="3"/>
    <s v="#DiscoverWeekly"/>
    <s v="#SpotifyWrapped"/>
    <s v="IndieWave"/>
    <n v="5.0121212121212122E-2"/>
  </r>
  <r>
    <s v="SP254"/>
    <x v="1"/>
    <x v="210"/>
    <x v="0"/>
    <s v="What's your vibe today? #SpotifyHits"/>
    <n v="4995"/>
    <n v="231"/>
    <n v="94"/>
    <n v="34431"/>
    <n v="32560"/>
    <n v="262"/>
    <x v="5"/>
    <s v="#NowPlaying"/>
    <m/>
    <s v="ChillVibes"/>
    <n v="0.15451192239551567"/>
  </r>
  <r>
    <s v="SP255"/>
    <x v="1"/>
    <x v="154"/>
    <x v="1"/>
    <s v="Top trending tracks updated daily!"/>
    <n v="2291"/>
    <n v="146"/>
    <n v="399"/>
    <n v="49319"/>
    <n v="28056"/>
    <n v="90"/>
    <x v="4"/>
    <s v="#DiscoverWeekly"/>
    <s v="#MusicForEveryone"/>
    <s v="ChillVibes"/>
    <n v="5.7503193495407452E-2"/>
  </r>
  <r>
    <s v="SP256"/>
    <x v="1"/>
    <x v="207"/>
    <x v="1"/>
    <s v="Wrapped is here! Relive your top tracks "/>
    <n v="2304"/>
    <n v="289"/>
    <n v="161"/>
    <n v="52645"/>
    <n v="66262"/>
    <n v="146"/>
    <x v="2"/>
    <s v="#MusicForEveryone"/>
    <s v="#NowPlaying"/>
    <s v="ChillVibes"/>
    <n v="5.2312660271630736E-2"/>
  </r>
  <r>
    <s v="SP257"/>
    <x v="1"/>
    <x v="211"/>
    <x v="1"/>
    <s v="Top trending tracks updated daily!"/>
    <n v="3413"/>
    <n v="326"/>
    <n v="86"/>
    <n v="44680"/>
    <n v="52719"/>
    <n v="272"/>
    <x v="4"/>
    <s v="#DiscoverWeekly"/>
    <s v="#MusicForEveryone"/>
    <s v="ChillVibes"/>
    <n v="8.5608773500447627E-2"/>
  </r>
  <r>
    <s v="SP258"/>
    <x v="2"/>
    <x v="123"/>
    <x v="2"/>
    <s v="From pop to podcasts, its all here."/>
    <n v="1453"/>
    <n v="156"/>
    <n v="178"/>
    <n v="52980"/>
    <n v="57180"/>
    <n v="286"/>
    <x v="7"/>
    <s v="#DiscoverWeekly"/>
    <s v="#SoundtrackOfLife"/>
    <s v="SummerBeats"/>
    <n v="3.3729709324273313E-2"/>
  </r>
  <r>
    <s v="SP259"/>
    <x v="1"/>
    <x v="212"/>
    <x v="1"/>
    <s v="Music that moves you only on Spotify."/>
    <n v="1651"/>
    <n v="480"/>
    <n v="282"/>
    <n v="32140"/>
    <n v="70560"/>
    <n v="138"/>
    <x v="0"/>
    <s v="#SoundtrackOfLife"/>
    <s v="#NowPlaying"/>
    <s v="ChillVibes"/>
    <n v="7.5077784691972627E-2"/>
  </r>
  <r>
    <s v="SP260"/>
    <x v="1"/>
    <x v="67"/>
    <x v="1"/>
    <s v="Explore the latest podcasts now."/>
    <n v="3341"/>
    <n v="154"/>
    <n v="123"/>
    <n v="43369"/>
    <n v="49035"/>
    <n v="128"/>
    <x v="2"/>
    <s v="#MusicForEveryone"/>
    <s v="#NowPlaying"/>
    <s v="ChillVibes"/>
    <n v="8.3423643616408028E-2"/>
  </r>
  <r>
    <s v="SP261"/>
    <x v="1"/>
    <x v="213"/>
    <x v="0"/>
    <s v="From pop to podcasts, its all here."/>
    <n v="2972"/>
    <n v="263"/>
    <n v="308"/>
    <n v="51740"/>
    <n v="28214"/>
    <n v="190"/>
    <x v="6"/>
    <s v="#SoundtrackOfLife"/>
    <m/>
    <s v="IndieWave"/>
    <n v="6.8477000386548123E-2"/>
  </r>
  <r>
    <s v="SP262"/>
    <x v="1"/>
    <x v="214"/>
    <x v="1"/>
    <s v="Explore the latest podcasts now."/>
    <n v="4963"/>
    <n v="255"/>
    <n v="193"/>
    <n v="44386"/>
    <n v="28415"/>
    <n v="174"/>
    <x v="2"/>
    <s v="#MusicForEveryone"/>
    <s v="#NowPlaying"/>
    <s v="ChillVibes"/>
    <n v="0.12190780876853062"/>
  </r>
  <r>
    <s v="SP263"/>
    <x v="2"/>
    <x v="215"/>
    <x v="0"/>
    <s v="Music that moves you only on Spotify."/>
    <n v="2399"/>
    <n v="191"/>
    <n v="221"/>
    <n v="51603"/>
    <n v="40033"/>
    <n v="173"/>
    <x v="3"/>
    <s v="#DiscoverWeekly"/>
    <s v="#SpotifyWrapped"/>
    <s v="IndieWave"/>
    <n v="5.4473577117609438E-2"/>
  </r>
  <r>
    <s v="SP264"/>
    <x v="2"/>
    <x v="190"/>
    <x v="2"/>
    <s v="Get into the groove with our new drop!"/>
    <n v="2162"/>
    <n v="318"/>
    <n v="83"/>
    <n v="46719"/>
    <n v="20482"/>
    <n v="185"/>
    <x v="7"/>
    <s v="#DiscoverWeekly"/>
    <s v="#SoundtrackOfLife"/>
    <s v="SummerBeats"/>
    <n v="5.4859907104176028E-2"/>
  </r>
  <r>
    <s v="SP265"/>
    <x v="1"/>
    <x v="76"/>
    <x v="1"/>
    <s v="Explore the latest podcasts now."/>
    <n v="4341"/>
    <n v="141"/>
    <n v="63"/>
    <n v="50081"/>
    <n v="27507"/>
    <n v="221"/>
    <x v="4"/>
    <s v="#DiscoverWeekly"/>
    <s v="#MusicForEveryone"/>
    <s v="ChillVibes"/>
    <n v="9.0752980172121162E-2"/>
  </r>
  <r>
    <s v="SP266"/>
    <x v="0"/>
    <x v="140"/>
    <x v="1"/>
    <s v="Get into the groove with our new drop!"/>
    <n v="2448"/>
    <n v="464"/>
    <n v="98"/>
    <n v="25737"/>
    <n v="48545"/>
    <n v="246"/>
    <x v="5"/>
    <s v="#NowPlaying"/>
    <m/>
    <s v="Wrapped2024"/>
    <n v="0.11695224773672146"/>
  </r>
  <r>
    <s v="SP267"/>
    <x v="2"/>
    <x v="216"/>
    <x v="0"/>
    <s v="Top trending tracks updated daily!"/>
    <n v="2471"/>
    <n v="166"/>
    <n v="320"/>
    <n v="48254"/>
    <n v="46900"/>
    <n v="111"/>
    <x v="3"/>
    <s v="#DiscoverWeekly"/>
    <s v="#SpotifyWrapped"/>
    <s v="IndieWave"/>
    <n v="6.1279893894806647E-2"/>
  </r>
  <r>
    <s v="SP268"/>
    <x v="2"/>
    <x v="217"/>
    <x v="2"/>
    <s v="Explore the latest podcasts now."/>
    <n v="2692"/>
    <n v="446"/>
    <n v="216"/>
    <n v="45818"/>
    <n v="62723"/>
    <n v="85"/>
    <x v="7"/>
    <s v="#DiscoverWeekly"/>
    <s v="#SoundtrackOfLife"/>
    <s v="SummerBeats"/>
    <n v="7.3202671439172376E-2"/>
  </r>
  <r>
    <s v="SP269"/>
    <x v="2"/>
    <x v="218"/>
    <x v="2"/>
    <s v="Music that moves you only on Spotify."/>
    <n v="4621"/>
    <n v="374"/>
    <n v="298"/>
    <n v="56979"/>
    <n v="24098"/>
    <n v="205"/>
    <x v="7"/>
    <s v="#DiscoverWeekly"/>
    <s v="#SoundtrackOfLife"/>
    <s v="SummerBeats"/>
    <n v="9.2893873181347508E-2"/>
  </r>
  <r>
    <s v="SP270"/>
    <x v="1"/>
    <x v="88"/>
    <x v="1"/>
    <s v="New music just dropped. Hit play!"/>
    <n v="1409"/>
    <n v="466"/>
    <n v="105"/>
    <n v="58923"/>
    <n v="38753"/>
    <n v="265"/>
    <x v="4"/>
    <s v="#DiscoverWeekly"/>
    <s v="#MusicForEveryone"/>
    <s v="ChillVibes"/>
    <n v="3.3603177027646251E-2"/>
  </r>
  <r>
    <s v="SP271"/>
    <x v="1"/>
    <x v="45"/>
    <x v="1"/>
    <s v="Discover fresh beats on Spotify!"/>
    <n v="3029"/>
    <n v="440"/>
    <n v="66"/>
    <n v="23815"/>
    <n v="47895"/>
    <n v="210"/>
    <x v="4"/>
    <s v="#DiscoverWeekly"/>
    <s v="#MusicForEveryone"/>
    <s v="ChillVibes"/>
    <n v="0.14843585975225698"/>
  </r>
  <r>
    <s v="SP272"/>
    <x v="1"/>
    <x v="19"/>
    <x v="0"/>
    <s v="Explore the latest podcasts now."/>
    <n v="2229"/>
    <n v="395"/>
    <n v="328"/>
    <n v="56921"/>
    <n v="37176"/>
    <n v="126"/>
    <x v="6"/>
    <s v="#SoundtrackOfLife"/>
    <m/>
    <s v="IndieWave"/>
    <n v="5.1861351697967357E-2"/>
  </r>
  <r>
    <s v="SP273"/>
    <x v="1"/>
    <x v="43"/>
    <x v="0"/>
    <s v="Explore the latest podcasts now."/>
    <n v="2691"/>
    <n v="486"/>
    <n v="206"/>
    <n v="51133"/>
    <n v="44583"/>
    <n v="276"/>
    <x v="5"/>
    <s v="#NowPlaying"/>
    <m/>
    <s v="ChillVibes"/>
    <n v="6.6160796354604659E-2"/>
  </r>
  <r>
    <s v="SP274"/>
    <x v="0"/>
    <x v="12"/>
    <x v="0"/>
    <s v="Explore the latest podcasts now."/>
    <n v="2110"/>
    <n v="384"/>
    <n v="236"/>
    <n v="49965"/>
    <n v="61555"/>
    <n v="195"/>
    <x v="1"/>
    <s v="#DiscoverWeekly"/>
    <m/>
    <s v="IndieWave"/>
    <n v="5.4638246772740921E-2"/>
  </r>
  <r>
    <s v="SP275"/>
    <x v="0"/>
    <x v="219"/>
    <x v="0"/>
    <s v="Wrapped is here! Relive your top tracks "/>
    <n v="4752"/>
    <n v="449"/>
    <n v="309"/>
    <n v="58530"/>
    <n v="26630"/>
    <n v="234"/>
    <x v="1"/>
    <s v="#DiscoverWeekly"/>
    <m/>
    <s v="IndieWave"/>
    <n v="9.4139757389372969E-2"/>
  </r>
  <r>
    <s v="SP276"/>
    <x v="1"/>
    <x v="220"/>
    <x v="0"/>
    <s v="Discover fresh beats on Spotify!"/>
    <n v="2177"/>
    <n v="258"/>
    <n v="292"/>
    <n v="47276"/>
    <n v="51324"/>
    <n v="143"/>
    <x v="5"/>
    <s v="#NowPlaying"/>
    <m/>
    <s v="ChillVibes"/>
    <n v="5.7682545054573146E-2"/>
  </r>
  <r>
    <s v="SP277"/>
    <x v="0"/>
    <x v="210"/>
    <x v="1"/>
    <s v="New music just dropped. Hit play!"/>
    <n v="1205"/>
    <n v="486"/>
    <n v="269"/>
    <n v="23341"/>
    <n v="42411"/>
    <n v="184"/>
    <x v="5"/>
    <s v="#NowPlaying"/>
    <m/>
    <s v="Wrapped2024"/>
    <n v="8.3972409065592737E-2"/>
  </r>
  <r>
    <s v="SP278"/>
    <x v="0"/>
    <x v="221"/>
    <x v="0"/>
    <s v="Top trending tracks updated daily!"/>
    <n v="3194"/>
    <n v="292"/>
    <n v="245"/>
    <n v="56371"/>
    <n v="65597"/>
    <n v="163"/>
    <x v="0"/>
    <s v="#SoundtrackOfLife"/>
    <s v="#NowPlaying"/>
    <s v="ChillVibes"/>
    <n v="6.6186514342481059E-2"/>
  </r>
  <r>
    <s v="SP279"/>
    <x v="1"/>
    <x v="212"/>
    <x v="1"/>
    <s v="New music just dropped. Hit play!"/>
    <n v="3507"/>
    <n v="295"/>
    <n v="371"/>
    <n v="20410"/>
    <n v="53965"/>
    <n v="212"/>
    <x v="0"/>
    <s v="#SoundtrackOfLife"/>
    <s v="#NowPlaying"/>
    <s v="ChillVibes"/>
    <n v="0.20445859872611466"/>
  </r>
  <r>
    <s v="SP280"/>
    <x v="1"/>
    <x v="124"/>
    <x v="1"/>
    <s v="Wrapped is here! Relive your top tracks "/>
    <n v="4471"/>
    <n v="317"/>
    <n v="249"/>
    <n v="44862"/>
    <n v="33365"/>
    <n v="184"/>
    <x v="4"/>
    <s v="#DiscoverWeekly"/>
    <s v="#MusicForEveryone"/>
    <s v="ChillVibes"/>
    <n v="0.1122776514644911"/>
  </r>
  <r>
    <s v="SP281"/>
    <x v="0"/>
    <x v="222"/>
    <x v="0"/>
    <s v="Top trending tracks updated daily!"/>
    <n v="4931"/>
    <n v="469"/>
    <n v="193"/>
    <n v="56701"/>
    <n v="69437"/>
    <n v="291"/>
    <x v="0"/>
    <s v="#SoundtrackOfLife"/>
    <s v="#NowPlaying"/>
    <s v="ChillVibes"/>
    <n v="9.8640235621946709E-2"/>
  </r>
  <r>
    <s v="SP282"/>
    <x v="1"/>
    <x v="223"/>
    <x v="1"/>
    <s v="Get into the groove with our new drop!"/>
    <n v="2604"/>
    <n v="439"/>
    <n v="148"/>
    <n v="58468"/>
    <n v="39629"/>
    <n v="163"/>
    <x v="2"/>
    <s v="#MusicForEveryone"/>
    <s v="#NowPlaying"/>
    <s v="ChillVibes"/>
    <n v="5.4576862557296296E-2"/>
  </r>
  <r>
    <s v="SP283"/>
    <x v="0"/>
    <x v="132"/>
    <x v="0"/>
    <s v="Music that moves you only on Spotify."/>
    <n v="4197"/>
    <n v="359"/>
    <n v="280"/>
    <n v="56048"/>
    <n v="70930"/>
    <n v="295"/>
    <x v="1"/>
    <s v="#DiscoverWeekly"/>
    <m/>
    <s v="IndieWave"/>
    <n v="8.628318584070796E-2"/>
  </r>
  <r>
    <s v="SP284"/>
    <x v="0"/>
    <x v="224"/>
    <x v="1"/>
    <s v="Top trending tracks updated daily!"/>
    <n v="1914"/>
    <n v="255"/>
    <n v="156"/>
    <n v="27660"/>
    <n v="47776"/>
    <n v="111"/>
    <x v="5"/>
    <s v="#NowPlaying"/>
    <m/>
    <s v="Wrapped2024"/>
    <n v="8.4056399132321047E-2"/>
  </r>
  <r>
    <s v="SP285"/>
    <x v="2"/>
    <x v="225"/>
    <x v="0"/>
    <s v="New music just dropped. Hit play!"/>
    <n v="1334"/>
    <n v="357"/>
    <n v="257"/>
    <n v="56910"/>
    <n v="70606"/>
    <n v="228"/>
    <x v="3"/>
    <s v="#DiscoverWeekly"/>
    <s v="#SpotifyWrapped"/>
    <s v="IndieWave"/>
    <n v="3.4229485151994379E-2"/>
  </r>
  <r>
    <s v="SP286"/>
    <x v="0"/>
    <x v="98"/>
    <x v="0"/>
    <s v="Get into the groove with our new drop!"/>
    <n v="3359"/>
    <n v="137"/>
    <n v="387"/>
    <n v="33861"/>
    <n v="47257"/>
    <n v="198"/>
    <x v="1"/>
    <s v="#DiscoverWeekly"/>
    <m/>
    <s v="IndieWave"/>
    <n v="0.11467469950680724"/>
  </r>
  <r>
    <s v="SP287"/>
    <x v="2"/>
    <x v="226"/>
    <x v="0"/>
    <s v="Your weekend playlist is waiting."/>
    <n v="2172"/>
    <n v="338"/>
    <n v="70"/>
    <n v="30515"/>
    <n v="57853"/>
    <n v="156"/>
    <x v="3"/>
    <s v="#DiscoverWeekly"/>
    <s v="#SpotifyWrapped"/>
    <s v="IndieWave"/>
    <n v="8.4548582664263475E-2"/>
  </r>
  <r>
    <s v="SP288"/>
    <x v="1"/>
    <x v="151"/>
    <x v="1"/>
    <s v="From pop to podcasts, its all here."/>
    <n v="4877"/>
    <n v="442"/>
    <n v="236"/>
    <n v="52673"/>
    <n v="48241"/>
    <n v="114"/>
    <x v="4"/>
    <s v="#DiscoverWeekly"/>
    <s v="#MusicForEveryone"/>
    <s v="ChillVibes"/>
    <n v="0.10546200140489435"/>
  </r>
  <r>
    <s v="SP289"/>
    <x v="0"/>
    <x v="74"/>
    <x v="1"/>
    <s v="New music just dropped. Hit play!"/>
    <n v="4918"/>
    <n v="440"/>
    <n v="149"/>
    <n v="53269"/>
    <n v="64370"/>
    <n v="269"/>
    <x v="5"/>
    <s v="#NowPlaying"/>
    <m/>
    <s v="Wrapped2024"/>
    <n v="0.10338095327488783"/>
  </r>
  <r>
    <s v="SP290"/>
    <x v="1"/>
    <x v="227"/>
    <x v="0"/>
    <s v="Explore the latest podcasts now."/>
    <n v="3418"/>
    <n v="107"/>
    <n v="221"/>
    <n v="23927"/>
    <n v="26182"/>
    <n v="155"/>
    <x v="6"/>
    <s v="#SoundtrackOfLife"/>
    <m/>
    <s v="IndieWave"/>
    <n v="0.1565595352530614"/>
  </r>
  <r>
    <s v="SP291"/>
    <x v="0"/>
    <x v="228"/>
    <x v="0"/>
    <s v="Your weekend playlist is waiting."/>
    <n v="2088"/>
    <n v="490"/>
    <n v="124"/>
    <n v="46544"/>
    <n v="69346"/>
    <n v="178"/>
    <x v="0"/>
    <s v="#SoundtrackOfLife"/>
    <s v="#NowPlaying"/>
    <s v="ChillVibes"/>
    <n v="5.8052595393606049E-2"/>
  </r>
  <r>
    <s v="SP292"/>
    <x v="1"/>
    <x v="59"/>
    <x v="1"/>
    <s v="Explore the latest podcasts now."/>
    <n v="3061"/>
    <n v="320"/>
    <n v="76"/>
    <n v="26640"/>
    <n v="24306"/>
    <n v="112"/>
    <x v="2"/>
    <s v="#MusicForEveryone"/>
    <s v="#NowPlaying"/>
    <s v="ChillVibes"/>
    <n v="0.12976726726726726"/>
  </r>
  <r>
    <s v="SP293"/>
    <x v="2"/>
    <x v="229"/>
    <x v="2"/>
    <s v="Your weekend playlist is waiting."/>
    <n v="1265"/>
    <n v="230"/>
    <n v="364"/>
    <n v="41312"/>
    <n v="50382"/>
    <n v="106"/>
    <x v="7"/>
    <s v="#DiscoverWeekly"/>
    <s v="#SoundtrackOfLife"/>
    <s v="SummerBeats"/>
    <n v="4.4999031758326875E-2"/>
  </r>
  <r>
    <s v="SP294"/>
    <x v="0"/>
    <x v="230"/>
    <x v="0"/>
    <s v="From pop to podcasts, its all here."/>
    <n v="1436"/>
    <n v="219"/>
    <n v="229"/>
    <n v="58488"/>
    <n v="24314"/>
    <n v="147"/>
    <x v="1"/>
    <s v="#DiscoverWeekly"/>
    <m/>
    <s v="IndieWave"/>
    <n v="3.221173574066475E-2"/>
  </r>
  <r>
    <s v="SP295"/>
    <x v="0"/>
    <x v="231"/>
    <x v="1"/>
    <s v="Top trending tracks updated daily!"/>
    <n v="2244"/>
    <n v="392"/>
    <n v="231"/>
    <n v="25834"/>
    <n v="50906"/>
    <n v="165"/>
    <x v="5"/>
    <s v="#NowPlaying"/>
    <m/>
    <s v="Wrapped2024"/>
    <n v="0.1109777812185492"/>
  </r>
  <r>
    <s v="SP296"/>
    <x v="1"/>
    <x v="123"/>
    <x v="1"/>
    <s v="Your weekend playlist is waiting."/>
    <n v="3393"/>
    <n v="104"/>
    <n v="79"/>
    <n v="30025"/>
    <n v="21593"/>
    <n v="165"/>
    <x v="2"/>
    <s v="#MusicForEveryone"/>
    <s v="#NowPlaying"/>
    <s v="ChillVibes"/>
    <n v="0.1191007493755204"/>
  </r>
  <r>
    <s v="SP297"/>
    <x v="1"/>
    <x v="213"/>
    <x v="0"/>
    <s v="Explore the latest podcasts now."/>
    <n v="2901"/>
    <n v="108"/>
    <n v="86"/>
    <n v="51777"/>
    <n v="23773"/>
    <n v="160"/>
    <x v="6"/>
    <s v="#SoundtrackOfLife"/>
    <m/>
    <s v="IndieWave"/>
    <n v="5.9775576027966085E-2"/>
  </r>
  <r>
    <s v="SP298"/>
    <x v="1"/>
    <x v="232"/>
    <x v="0"/>
    <s v="What's your vibe today? #SpotifyHits"/>
    <n v="2275"/>
    <n v="285"/>
    <n v="125"/>
    <n v="43970"/>
    <n v="74761"/>
    <n v="83"/>
    <x v="5"/>
    <s v="#NowPlaying"/>
    <m/>
    <s v="ChillVibes"/>
    <n v="6.1064362065044349E-2"/>
  </r>
  <r>
    <s v="SP299"/>
    <x v="1"/>
    <x v="233"/>
    <x v="1"/>
    <s v="Wrapped is here! Relive your top tracks "/>
    <n v="2227"/>
    <n v="494"/>
    <n v="161"/>
    <n v="51651"/>
    <n v="68074"/>
    <n v="240"/>
    <x v="4"/>
    <s v="#DiscoverWeekly"/>
    <s v="#MusicForEveryone"/>
    <s v="ChillVibes"/>
    <n v="5.5797564422760453E-2"/>
  </r>
  <r>
    <s v="SP300"/>
    <x v="0"/>
    <x v="234"/>
    <x v="0"/>
    <s v="Music that moves you only on Spotify."/>
    <n v="1883"/>
    <n v="432"/>
    <n v="397"/>
    <n v="28759"/>
    <n v="18691"/>
    <n v="270"/>
    <x v="0"/>
    <s v="#SoundtrackOfLife"/>
    <s v="#NowPlaying"/>
    <s v="ChillVibes"/>
    <n v="9.4300914496331587E-2"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  <r>
    <m/>
    <x v="3"/>
    <x v="235"/>
    <x v="3"/>
    <m/>
    <m/>
    <m/>
    <m/>
    <m/>
    <m/>
    <m/>
    <x v="8"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402"/>
    <n v="68"/>
    <n v="124562"/>
    <n v="9.92"/>
    <n v="23125"/>
  </r>
  <r>
    <x v="1"/>
    <n v="995"/>
    <n v="86"/>
    <n v="227958"/>
    <n v="8.0500000000000007"/>
    <n v="22788"/>
  </r>
  <r>
    <x v="2"/>
    <n v="1472"/>
    <n v="296"/>
    <n v="370242"/>
    <n v="7.72"/>
    <n v="7810"/>
  </r>
  <r>
    <x v="0"/>
    <n v="1018"/>
    <n v="90"/>
    <n v="92474"/>
    <n v="9.4"/>
    <n v="11966"/>
  </r>
  <r>
    <x v="1"/>
    <n v="1461"/>
    <n v="64"/>
    <n v="328902"/>
    <n v="9.02"/>
    <n v="26298"/>
  </r>
  <r>
    <x v="2"/>
    <n v="545"/>
    <n v="93"/>
    <n v="391621"/>
    <n v="9.9600000000000009"/>
    <n v="22029"/>
  </r>
  <r>
    <x v="0"/>
    <n v="881"/>
    <n v="291"/>
    <n v="95885"/>
    <n v="5.29"/>
    <n v="12391"/>
  </r>
  <r>
    <x v="1"/>
    <n v="1414"/>
    <n v="131"/>
    <n v="245947"/>
    <n v="8.3000000000000007"/>
    <n v="14477"/>
  </r>
  <r>
    <x v="2"/>
    <n v="1472"/>
    <n v="170"/>
    <n v="250428"/>
    <n v="4.66"/>
    <n v="25040"/>
  </r>
  <r>
    <x v="0"/>
    <n v="809"/>
    <n v="197"/>
    <n v="87186"/>
    <n v="9.48"/>
    <n v="22619"/>
  </r>
  <r>
    <x v="1"/>
    <n v="1371"/>
    <n v="250"/>
    <n v="128620"/>
    <n v="7.11"/>
    <n v="12399"/>
  </r>
  <r>
    <x v="2"/>
    <n v="844"/>
    <n v="144"/>
    <n v="126015"/>
    <n v="9.65"/>
    <n v="22456"/>
  </r>
  <r>
    <x v="0"/>
    <n v="786"/>
    <n v="72"/>
    <n v="178615"/>
    <n v="5.43"/>
    <n v="19328"/>
  </r>
  <r>
    <x v="1"/>
    <n v="845"/>
    <n v="250"/>
    <n v="218228"/>
    <n v="4.5199999999999996"/>
    <n v="21107"/>
  </r>
  <r>
    <x v="2"/>
    <n v="1218"/>
    <n v="101"/>
    <n v="300397"/>
    <n v="4.33"/>
    <n v="12277"/>
  </r>
  <r>
    <x v="0"/>
    <n v="797"/>
    <n v="130"/>
    <n v="340121"/>
    <n v="8.52"/>
    <n v="11684"/>
  </r>
  <r>
    <x v="1"/>
    <n v="1471"/>
    <n v="100"/>
    <n v="76866"/>
    <n v="8.5500000000000007"/>
    <n v="14412"/>
  </r>
  <r>
    <x v="2"/>
    <n v="1253"/>
    <n v="136"/>
    <n v="193131"/>
    <n v="7.99"/>
    <n v="15924"/>
  </r>
  <r>
    <x v="0"/>
    <n v="616"/>
    <n v="257"/>
    <n v="169665"/>
    <n v="6.31"/>
    <n v="12390"/>
  </r>
  <r>
    <x v="1"/>
    <n v="1308"/>
    <n v="210"/>
    <n v="263729"/>
    <n v="8.5299999999999994"/>
    <n v="25742"/>
  </r>
  <r>
    <x v="2"/>
    <n v="981"/>
    <n v="69"/>
    <n v="206921"/>
    <n v="8.42"/>
    <n v="10495"/>
  </r>
  <r>
    <x v="0"/>
    <n v="866"/>
    <n v="74"/>
    <n v="204121"/>
    <n v="9.34"/>
    <n v="7797"/>
  </r>
  <r>
    <x v="1"/>
    <n v="547"/>
    <n v="183"/>
    <n v="266350"/>
    <n v="5.65"/>
    <n v="15595"/>
  </r>
  <r>
    <x v="2"/>
    <n v="1241"/>
    <n v="116"/>
    <n v="380606"/>
    <n v="4.2"/>
    <n v="24617"/>
  </r>
  <r>
    <x v="0"/>
    <n v="973"/>
    <n v="104"/>
    <n v="376358"/>
    <n v="3.87"/>
    <n v="9847"/>
  </r>
  <r>
    <x v="1"/>
    <n v="611"/>
    <n v="197"/>
    <n v="79423"/>
    <n v="5.82"/>
    <n v="13644"/>
  </r>
  <r>
    <x v="2"/>
    <n v="983"/>
    <n v="134"/>
    <n v="352178"/>
    <n v="3.55"/>
    <n v="11421"/>
  </r>
  <r>
    <x v="0"/>
    <n v="1449"/>
    <n v="96"/>
    <n v="200636"/>
    <n v="9.92"/>
    <n v="15613"/>
  </r>
  <r>
    <x v="1"/>
    <n v="752"/>
    <n v="170"/>
    <n v="132756"/>
    <n v="8.17"/>
    <n v="23900"/>
  </r>
  <r>
    <x v="2"/>
    <n v="937"/>
    <n v="179"/>
    <n v="318098"/>
    <n v="5.3"/>
    <n v="5836"/>
  </r>
  <r>
    <x v="0"/>
    <n v="1060"/>
    <n v="83"/>
    <n v="68724"/>
    <n v="5.98"/>
    <n v="5624"/>
  </r>
  <r>
    <x v="1"/>
    <n v="1456"/>
    <n v="265"/>
    <n v="115505"/>
    <n v="7.49"/>
    <n v="10311"/>
  </r>
  <r>
    <x v="2"/>
    <n v="1109"/>
    <n v="205"/>
    <n v="276722"/>
    <n v="9.3800000000000008"/>
    <n v="8274"/>
  </r>
  <r>
    <x v="0"/>
    <n v="1002"/>
    <n v="93"/>
    <n v="353538"/>
    <n v="5.84"/>
    <n v="6031"/>
  </r>
  <r>
    <x v="1"/>
    <n v="571"/>
    <n v="189"/>
    <n v="61445"/>
    <n v="5.41"/>
    <n v="27829"/>
  </r>
  <r>
    <x v="2"/>
    <n v="1240"/>
    <n v="231"/>
    <n v="165035"/>
    <n v="6.05"/>
    <n v="18267"/>
  </r>
  <r>
    <x v="0"/>
    <n v="1154"/>
    <n v="132"/>
    <n v="194595"/>
    <n v="7.54"/>
    <n v="26624"/>
  </r>
  <r>
    <x v="1"/>
    <n v="537"/>
    <n v="275"/>
    <n v="236238"/>
    <n v="5.87"/>
    <n v="26644"/>
  </r>
  <r>
    <x v="2"/>
    <n v="1456"/>
    <n v="290"/>
    <n v="271044"/>
    <n v="7.17"/>
    <n v="13051"/>
  </r>
  <r>
    <x v="0"/>
    <n v="721"/>
    <n v="206"/>
    <n v="334887"/>
    <n v="6.05"/>
    <n v="14217"/>
  </r>
  <r>
    <x v="1"/>
    <n v="1098"/>
    <n v="142"/>
    <n v="359150"/>
    <n v="7.51"/>
    <n v="16385"/>
  </r>
  <r>
    <x v="2"/>
    <n v="1096"/>
    <n v="65"/>
    <n v="358295"/>
    <n v="7.66"/>
    <n v="24548"/>
  </r>
  <r>
    <x v="0"/>
    <n v="912"/>
    <n v="275"/>
    <n v="368454"/>
    <n v="6.03"/>
    <n v="9195"/>
  </r>
  <r>
    <x v="1"/>
    <n v="1430"/>
    <n v="162"/>
    <n v="269082"/>
    <n v="3.4"/>
    <n v="18071"/>
  </r>
  <r>
    <x v="2"/>
    <n v="854"/>
    <n v="129"/>
    <n v="310903"/>
    <n v="7.83"/>
    <n v="16875"/>
  </r>
  <r>
    <x v="0"/>
    <n v="681"/>
    <n v="210"/>
    <n v="248581"/>
    <n v="8.76"/>
    <n v="9567"/>
  </r>
  <r>
    <x v="1"/>
    <n v="1373"/>
    <n v="82"/>
    <n v="371015"/>
    <n v="9.52"/>
    <n v="20306"/>
  </r>
  <r>
    <x v="2"/>
    <n v="685"/>
    <n v="285"/>
    <n v="177452"/>
    <n v="3.36"/>
    <n v="21134"/>
  </r>
  <r>
    <x v="0"/>
    <n v="1290"/>
    <n v="177"/>
    <n v="80745"/>
    <n v="9.2200000000000006"/>
    <n v="26872"/>
  </r>
  <r>
    <x v="1"/>
    <n v="1437"/>
    <n v="239"/>
    <n v="362441"/>
    <n v="5.57"/>
    <n v="10253"/>
  </r>
  <r>
    <x v="2"/>
    <n v="769"/>
    <n v="295"/>
    <n v="344771"/>
    <n v="8.06"/>
    <n v="23963"/>
  </r>
  <r>
    <x v="0"/>
    <n v="1416"/>
    <n v="284"/>
    <n v="374952"/>
    <n v="3.45"/>
    <n v="11335"/>
  </r>
  <r>
    <x v="1"/>
    <n v="998"/>
    <n v="154"/>
    <n v="179781"/>
    <n v="9.58"/>
    <n v="12115"/>
  </r>
  <r>
    <x v="2"/>
    <n v="1421"/>
    <n v="246"/>
    <n v="358581"/>
    <n v="8.8800000000000008"/>
    <n v="24358"/>
  </r>
  <r>
    <x v="0"/>
    <n v="764"/>
    <n v="205"/>
    <n v="319294"/>
    <n v="6.23"/>
    <n v="12181"/>
  </r>
  <r>
    <x v="1"/>
    <n v="678"/>
    <n v="124"/>
    <n v="192022"/>
    <n v="8.4499999999999993"/>
    <n v="17729"/>
  </r>
  <r>
    <x v="2"/>
    <n v="1328"/>
    <n v="103"/>
    <n v="151462"/>
    <n v="8.4"/>
    <n v="10881"/>
  </r>
  <r>
    <x v="0"/>
    <n v="1161"/>
    <n v="269"/>
    <n v="188193"/>
    <n v="7.34"/>
    <n v="18576"/>
  </r>
  <r>
    <x v="1"/>
    <n v="588"/>
    <n v="52"/>
    <n v="292040"/>
    <n v="8.14"/>
    <n v="9383"/>
  </r>
  <r>
    <x v="2"/>
    <n v="1457"/>
    <n v="215"/>
    <n v="325325"/>
    <n v="9.58"/>
    <n v="14178"/>
  </r>
  <r>
    <x v="0"/>
    <n v="1190"/>
    <n v="242"/>
    <n v="86849"/>
    <n v="8.06"/>
    <n v="21254"/>
  </r>
  <r>
    <x v="1"/>
    <n v="886"/>
    <n v="124"/>
    <n v="141161"/>
    <n v="8.19"/>
    <n v="14215"/>
  </r>
  <r>
    <x v="2"/>
    <n v="1237"/>
    <n v="155"/>
    <n v="149916"/>
    <n v="4.4800000000000004"/>
    <n v="16921"/>
  </r>
  <r>
    <x v="0"/>
    <n v="1435"/>
    <n v="261"/>
    <n v="308533"/>
    <n v="4.5199999999999996"/>
    <n v="25130"/>
  </r>
  <r>
    <x v="1"/>
    <n v="746"/>
    <n v="282"/>
    <n v="293894"/>
    <n v="5.42"/>
    <n v="25537"/>
  </r>
  <r>
    <x v="2"/>
    <n v="759"/>
    <n v="216"/>
    <n v="147656"/>
    <n v="4.08"/>
    <n v="24943"/>
  </r>
  <r>
    <x v="0"/>
    <n v="1437"/>
    <n v="235"/>
    <n v="326791"/>
    <n v="4.0599999999999996"/>
    <n v="14563"/>
  </r>
  <r>
    <x v="1"/>
    <n v="1463"/>
    <n v="73"/>
    <n v="348877"/>
    <n v="9.91"/>
    <n v="26273"/>
  </r>
  <r>
    <x v="2"/>
    <n v="1208"/>
    <n v="224"/>
    <n v="122730"/>
    <n v="8.7200000000000006"/>
    <n v="10858"/>
  </r>
  <r>
    <x v="0"/>
    <n v="1391"/>
    <n v="187"/>
    <n v="306508"/>
    <n v="8.3800000000000008"/>
    <n v="25038"/>
  </r>
  <r>
    <x v="1"/>
    <n v="655"/>
    <n v="123"/>
    <n v="202472"/>
    <n v="7.56"/>
    <n v="9092"/>
  </r>
  <r>
    <x v="2"/>
    <n v="1148"/>
    <n v="90"/>
    <n v="227249"/>
    <n v="7.24"/>
    <n v="17662"/>
  </r>
  <r>
    <x v="0"/>
    <n v="946"/>
    <n v="270"/>
    <n v="246567"/>
    <n v="4.53"/>
    <n v="5924"/>
  </r>
  <r>
    <x v="1"/>
    <n v="791"/>
    <n v="214"/>
    <n v="114738"/>
    <n v="6.62"/>
    <n v="25347"/>
  </r>
  <r>
    <x v="2"/>
    <n v="793"/>
    <n v="111"/>
    <n v="333500"/>
    <n v="6.36"/>
    <n v="8910"/>
  </r>
  <r>
    <x v="0"/>
    <n v="663"/>
    <n v="213"/>
    <n v="352677"/>
    <n v="9"/>
    <n v="20438"/>
  </r>
  <r>
    <x v="1"/>
    <n v="954"/>
    <n v="271"/>
    <n v="160936"/>
    <n v="8.83"/>
    <n v="8760"/>
  </r>
  <r>
    <x v="2"/>
    <n v="1313"/>
    <n v="159"/>
    <n v="197183"/>
    <n v="9.7100000000000009"/>
    <n v="6625"/>
  </r>
  <r>
    <x v="0"/>
    <n v="895"/>
    <n v="87"/>
    <n v="171271"/>
    <n v="6.68"/>
    <n v="23329"/>
  </r>
  <r>
    <x v="1"/>
    <n v="1027"/>
    <n v="156"/>
    <n v="111293"/>
    <n v="5.51"/>
    <n v="7299"/>
  </r>
  <r>
    <x v="2"/>
    <n v="990"/>
    <n v="286"/>
    <n v="351493"/>
    <n v="7.97"/>
    <n v="14496"/>
  </r>
  <r>
    <x v="0"/>
    <n v="875"/>
    <n v="264"/>
    <n v="345631"/>
    <n v="9.18"/>
    <n v="25703"/>
  </r>
  <r>
    <x v="1"/>
    <n v="599"/>
    <n v="194"/>
    <n v="105622"/>
    <n v="6.44"/>
    <n v="15108"/>
  </r>
  <r>
    <x v="2"/>
    <n v="630"/>
    <n v="248"/>
    <n v="119054"/>
    <n v="5.0199999999999996"/>
    <n v="18867"/>
  </r>
  <r>
    <x v="0"/>
    <n v="1350"/>
    <n v="233"/>
    <n v="171670"/>
    <n v="4.53"/>
    <n v="17574"/>
  </r>
  <r>
    <x v="1"/>
    <n v="632"/>
    <n v="155"/>
    <n v="170432"/>
    <n v="9.17"/>
    <n v="12840"/>
  </r>
  <r>
    <x v="2"/>
    <n v="1182"/>
    <n v="83"/>
    <n v="140300"/>
    <n v="3.27"/>
    <n v="21079"/>
  </r>
  <r>
    <x v="0"/>
    <n v="661"/>
    <n v="94"/>
    <n v="116538"/>
    <n v="5.31"/>
    <n v="23486"/>
  </r>
  <r>
    <x v="1"/>
    <n v="1360"/>
    <n v="227"/>
    <n v="176902"/>
    <n v="6.03"/>
    <n v="5960"/>
  </r>
  <r>
    <x v="2"/>
    <n v="935"/>
    <n v="85"/>
    <n v="326821"/>
    <n v="8.89"/>
    <n v="13301"/>
  </r>
  <r>
    <x v="0"/>
    <n v="664"/>
    <n v="251"/>
    <n v="240598"/>
    <n v="4.79"/>
    <n v="10563"/>
  </r>
  <r>
    <x v="1"/>
    <n v="1490"/>
    <n v="103"/>
    <n v="373274"/>
    <n v="4.8"/>
    <n v="19949"/>
  </r>
  <r>
    <x v="2"/>
    <n v="601"/>
    <n v="64"/>
    <n v="123272"/>
    <n v="4.07"/>
    <n v="14273"/>
  </r>
  <r>
    <x v="0"/>
    <n v="613"/>
    <n v="170"/>
    <n v="139266"/>
    <n v="6.06"/>
    <n v="9247"/>
  </r>
  <r>
    <x v="1"/>
    <n v="1340"/>
    <n v="57"/>
    <n v="155927"/>
    <n v="7.79"/>
    <n v="11972"/>
  </r>
  <r>
    <x v="2"/>
    <n v="953"/>
    <n v="228"/>
    <n v="258398"/>
    <n v="9.0500000000000007"/>
    <n v="13314"/>
  </r>
  <r>
    <x v="0"/>
    <n v="532"/>
    <n v="65"/>
    <n v="338561"/>
    <n v="3.5"/>
    <n v="14749"/>
  </r>
  <r>
    <x v="1"/>
    <n v="1414"/>
    <n v="60"/>
    <n v="341856"/>
    <n v="8.76"/>
    <n v="6868"/>
  </r>
  <r>
    <x v="2"/>
    <n v="685"/>
    <n v="165"/>
    <n v="175860"/>
    <n v="6.26"/>
    <n v="6027"/>
  </r>
  <r>
    <x v="0"/>
    <n v="601"/>
    <n v="159"/>
    <n v="327722"/>
    <n v="3.33"/>
    <n v="25267"/>
  </r>
  <r>
    <x v="1"/>
    <n v="841"/>
    <n v="295"/>
    <n v="271638"/>
    <n v="9.15"/>
    <n v="5900"/>
  </r>
  <r>
    <x v="2"/>
    <n v="1105"/>
    <n v="261"/>
    <n v="333851"/>
    <n v="6.03"/>
    <n v="11181"/>
  </r>
  <r>
    <x v="0"/>
    <n v="566"/>
    <n v="225"/>
    <n v="368984"/>
    <n v="9.82"/>
    <n v="9592"/>
  </r>
  <r>
    <x v="1"/>
    <n v="1149"/>
    <n v="280"/>
    <n v="167310"/>
    <n v="3.7"/>
    <n v="5291"/>
  </r>
  <r>
    <x v="2"/>
    <n v="819"/>
    <n v="101"/>
    <n v="194811"/>
    <n v="3.35"/>
    <n v="22244"/>
  </r>
  <r>
    <x v="0"/>
    <n v="795"/>
    <n v="60"/>
    <n v="314982"/>
    <n v="7.31"/>
    <n v="6824"/>
  </r>
  <r>
    <x v="1"/>
    <n v="681"/>
    <n v="158"/>
    <n v="75960"/>
    <n v="3.13"/>
    <n v="24112"/>
  </r>
  <r>
    <x v="2"/>
    <n v="534"/>
    <n v="112"/>
    <n v="360759"/>
    <n v="4.8899999999999997"/>
    <n v="25478"/>
  </r>
  <r>
    <x v="0"/>
    <n v="1066"/>
    <n v="151"/>
    <n v="297090"/>
    <n v="8.6300000000000008"/>
    <n v="11235"/>
  </r>
  <r>
    <x v="1"/>
    <n v="1270"/>
    <n v="162"/>
    <n v="92040"/>
    <n v="8.0299999999999994"/>
    <n v="6120"/>
  </r>
  <r>
    <x v="2"/>
    <n v="536"/>
    <n v="198"/>
    <n v="174610"/>
    <n v="7.85"/>
    <n v="20572"/>
  </r>
  <r>
    <x v="0"/>
    <n v="819"/>
    <n v="95"/>
    <n v="177376"/>
    <n v="6.12"/>
    <n v="14975"/>
  </r>
  <r>
    <x v="1"/>
    <n v="681"/>
    <n v="218"/>
    <n v="198882"/>
    <n v="7.16"/>
    <n v="22234"/>
  </r>
  <r>
    <x v="2"/>
    <n v="646"/>
    <n v="290"/>
    <n v="336383"/>
    <n v="7.04"/>
    <n v="6532"/>
  </r>
  <r>
    <x v="0"/>
    <n v="645"/>
    <n v="267"/>
    <n v="346890"/>
    <n v="3.71"/>
    <n v="24858"/>
  </r>
  <r>
    <x v="1"/>
    <n v="886"/>
    <n v="250"/>
    <n v="168170"/>
    <n v="4.12"/>
    <n v="13883"/>
  </r>
  <r>
    <x v="2"/>
    <n v="978"/>
    <n v="279"/>
    <n v="368872"/>
    <n v="6.82"/>
    <n v="18654"/>
  </r>
  <r>
    <x v="0"/>
    <n v="1444"/>
    <n v="165"/>
    <n v="116436"/>
    <n v="8.2200000000000006"/>
    <n v="25234"/>
  </r>
  <r>
    <x v="1"/>
    <n v="1234"/>
    <n v="228"/>
    <n v="127502"/>
    <n v="7.71"/>
    <n v="6772"/>
  </r>
  <r>
    <x v="2"/>
    <n v="665"/>
    <n v="187"/>
    <n v="274567"/>
    <n v="7.39"/>
    <n v="22428"/>
  </r>
  <r>
    <x v="0"/>
    <n v="631"/>
    <n v="86"/>
    <n v="295090"/>
    <n v="7.89"/>
    <n v="11911"/>
  </r>
  <r>
    <x v="1"/>
    <n v="1159"/>
    <n v="154"/>
    <n v="194994"/>
    <n v="6.39"/>
    <n v="21900"/>
  </r>
  <r>
    <x v="2"/>
    <n v="950"/>
    <n v="185"/>
    <n v="340750"/>
    <n v="6.77"/>
    <n v="25542"/>
  </r>
  <r>
    <x v="0"/>
    <n v="693"/>
    <n v="129"/>
    <n v="296031"/>
    <n v="3.41"/>
    <n v="7140"/>
  </r>
  <r>
    <x v="1"/>
    <n v="576"/>
    <n v="80"/>
    <n v="345688"/>
    <n v="4.1100000000000003"/>
    <n v="20474"/>
  </r>
  <r>
    <x v="2"/>
    <n v="1274"/>
    <n v="146"/>
    <n v="263488"/>
    <n v="9.58"/>
    <n v="8698"/>
  </r>
  <r>
    <x v="0"/>
    <n v="818"/>
    <n v="253"/>
    <n v="184911"/>
    <n v="3.39"/>
    <n v="10402"/>
  </r>
  <r>
    <x v="1"/>
    <n v="975"/>
    <n v="162"/>
    <n v="124497"/>
    <n v="9.58"/>
    <n v="26618"/>
  </r>
  <r>
    <x v="2"/>
    <n v="1398"/>
    <n v="97"/>
    <n v="397607"/>
    <n v="5.09"/>
    <n v="7975"/>
  </r>
  <r>
    <x v="0"/>
    <n v="591"/>
    <n v="155"/>
    <n v="138521"/>
    <n v="7.85"/>
    <n v="19054"/>
  </r>
  <r>
    <x v="1"/>
    <n v="1232"/>
    <n v="254"/>
    <n v="107718"/>
    <n v="9.7100000000000009"/>
    <n v="13740"/>
  </r>
  <r>
    <x v="2"/>
    <n v="1425"/>
    <n v="58"/>
    <n v="202234"/>
    <n v="6.67"/>
    <n v="18442"/>
  </r>
  <r>
    <x v="0"/>
    <n v="1417"/>
    <n v="80"/>
    <n v="340987"/>
    <n v="6.13"/>
    <n v="10104"/>
  </r>
  <r>
    <x v="1"/>
    <n v="1222"/>
    <n v="208"/>
    <n v="340098"/>
    <n v="7.34"/>
    <n v="21771"/>
  </r>
  <r>
    <x v="2"/>
    <n v="1071"/>
    <n v="131"/>
    <n v="254727"/>
    <n v="6.87"/>
    <n v="22191"/>
  </r>
  <r>
    <x v="0"/>
    <n v="772"/>
    <n v="82"/>
    <n v="345659"/>
    <n v="3.52"/>
    <n v="27753"/>
  </r>
  <r>
    <x v="1"/>
    <n v="1472"/>
    <n v="137"/>
    <n v="213950"/>
    <n v="6.96"/>
    <n v="23736"/>
  </r>
  <r>
    <x v="2"/>
    <n v="1472"/>
    <n v="281"/>
    <n v="258115"/>
    <n v="7.23"/>
    <n v="27393"/>
  </r>
  <r>
    <x v="0"/>
    <n v="585"/>
    <n v="232"/>
    <n v="321258"/>
    <n v="7.42"/>
    <n v="10343"/>
  </r>
  <r>
    <x v="1"/>
    <n v="747"/>
    <n v="261"/>
    <n v="338650"/>
    <n v="7.73"/>
    <n v="25259"/>
  </r>
  <r>
    <x v="2"/>
    <n v="1113"/>
    <n v="224"/>
    <n v="272989"/>
    <n v="5.13"/>
    <n v="24827"/>
  </r>
  <r>
    <x v="0"/>
    <n v="1100"/>
    <n v="117"/>
    <n v="260204"/>
    <n v="4.4000000000000004"/>
    <n v="11908"/>
  </r>
  <r>
    <x v="1"/>
    <n v="751"/>
    <n v="170"/>
    <n v="283278"/>
    <n v="3.49"/>
    <n v="11005"/>
  </r>
  <r>
    <x v="2"/>
    <n v="864"/>
    <n v="50"/>
    <n v="277445"/>
    <n v="3.57"/>
    <n v="26333"/>
  </r>
  <r>
    <x v="0"/>
    <n v="1146"/>
    <n v="227"/>
    <n v="353781"/>
    <n v="6.41"/>
    <n v="5495"/>
  </r>
  <r>
    <x v="1"/>
    <n v="883"/>
    <n v="207"/>
    <n v="265019"/>
    <n v="6.04"/>
    <n v="15655"/>
  </r>
  <r>
    <x v="2"/>
    <n v="622"/>
    <n v="163"/>
    <n v="231925"/>
    <n v="9.18"/>
    <n v="13763"/>
  </r>
  <r>
    <x v="0"/>
    <n v="837"/>
    <n v="261"/>
    <n v="366149"/>
    <n v="6.54"/>
    <n v="26073"/>
  </r>
  <r>
    <x v="1"/>
    <n v="544"/>
    <n v="97"/>
    <n v="168375"/>
    <n v="8.66"/>
    <n v="12774"/>
  </r>
  <r>
    <x v="2"/>
    <n v="624"/>
    <n v="247"/>
    <n v="252763"/>
    <n v="3.89"/>
    <n v="19000"/>
  </r>
  <r>
    <x v="0"/>
    <n v="1073"/>
    <n v="141"/>
    <n v="118393"/>
    <n v="7.95"/>
    <n v="14051"/>
  </r>
  <r>
    <x v="1"/>
    <n v="1430"/>
    <n v="74"/>
    <n v="327012"/>
    <n v="6.66"/>
    <n v="27782"/>
  </r>
  <r>
    <x v="2"/>
    <n v="1358"/>
    <n v="77"/>
    <n v="169688"/>
    <n v="5.25"/>
    <n v="7859"/>
  </r>
  <r>
    <x v="0"/>
    <n v="1242"/>
    <n v="201"/>
    <n v="271935"/>
    <n v="5.07"/>
    <n v="15773"/>
  </r>
  <r>
    <x v="1"/>
    <n v="1389"/>
    <n v="205"/>
    <n v="315981"/>
    <n v="7.62"/>
    <n v="20595"/>
  </r>
  <r>
    <x v="2"/>
    <n v="826"/>
    <n v="142"/>
    <n v="341016"/>
    <n v="7.44"/>
    <n v="12031"/>
  </r>
  <r>
    <x v="0"/>
    <n v="618"/>
    <n v="264"/>
    <n v="285164"/>
    <n v="4.8600000000000003"/>
    <n v="15128"/>
  </r>
  <r>
    <x v="1"/>
    <n v="1419"/>
    <n v="293"/>
    <n v="116632"/>
    <n v="6.93"/>
    <n v="11826"/>
  </r>
  <r>
    <x v="2"/>
    <n v="637"/>
    <n v="68"/>
    <n v="115694"/>
    <n v="9.99"/>
    <n v="12562"/>
  </r>
  <r>
    <x v="0"/>
    <n v="917"/>
    <n v="187"/>
    <n v="64444"/>
    <n v="5.22"/>
    <n v="13013"/>
  </r>
  <r>
    <x v="1"/>
    <n v="810"/>
    <n v="232"/>
    <n v="362559"/>
    <n v="5.17"/>
    <n v="12937"/>
  </r>
  <r>
    <x v="2"/>
    <n v="1183"/>
    <n v="248"/>
    <n v="226881"/>
    <n v="5.17"/>
    <n v="14534"/>
  </r>
  <r>
    <x v="0"/>
    <n v="765"/>
    <n v="67"/>
    <n v="283537"/>
    <n v="6.18"/>
    <n v="8182"/>
  </r>
  <r>
    <x v="1"/>
    <n v="540"/>
    <n v="215"/>
    <n v="62837"/>
    <n v="5.3"/>
    <n v="10615"/>
  </r>
  <r>
    <x v="2"/>
    <n v="1145"/>
    <n v="151"/>
    <n v="182759"/>
    <n v="5.99"/>
    <n v="20109"/>
  </r>
  <r>
    <x v="0"/>
    <n v="564"/>
    <n v="244"/>
    <n v="279405"/>
    <n v="8.43"/>
    <n v="26024"/>
  </r>
  <r>
    <x v="1"/>
    <n v="668"/>
    <n v="124"/>
    <n v="257485"/>
    <n v="7.55"/>
    <n v="26730"/>
  </r>
  <r>
    <x v="2"/>
    <n v="761"/>
    <n v="241"/>
    <n v="154977"/>
    <n v="5.63"/>
    <n v="10563"/>
  </r>
  <r>
    <x v="0"/>
    <n v="593"/>
    <n v="108"/>
    <n v="216500"/>
    <n v="4.71"/>
    <n v="27575"/>
  </r>
  <r>
    <x v="1"/>
    <n v="1349"/>
    <n v="115"/>
    <n v="102102"/>
    <n v="5.28"/>
    <n v="14479"/>
  </r>
  <r>
    <x v="2"/>
    <n v="693"/>
    <n v="97"/>
    <n v="92025"/>
    <n v="5.95"/>
    <n v="15915"/>
  </r>
  <r>
    <x v="0"/>
    <n v="974"/>
    <n v="143"/>
    <n v="247965"/>
    <n v="9.98"/>
    <n v="12767"/>
  </r>
  <r>
    <x v="1"/>
    <n v="1155"/>
    <n v="122"/>
    <n v="387352"/>
    <n v="9.93"/>
    <n v="12170"/>
  </r>
  <r>
    <x v="2"/>
    <n v="1051"/>
    <n v="246"/>
    <n v="253985"/>
    <n v="9.08"/>
    <n v="7245"/>
  </r>
  <r>
    <x v="0"/>
    <n v="1457"/>
    <n v="183"/>
    <n v="129640"/>
    <n v="7.98"/>
    <n v="12985"/>
  </r>
  <r>
    <x v="1"/>
    <n v="670"/>
    <n v="242"/>
    <n v="281913"/>
    <n v="9.6199999999999992"/>
    <n v="16377"/>
  </r>
  <r>
    <x v="2"/>
    <n v="1111"/>
    <n v="159"/>
    <n v="360770"/>
    <n v="8.7100000000000009"/>
    <n v="11453"/>
  </r>
  <r>
    <x v="0"/>
    <n v="1197"/>
    <n v="246"/>
    <n v="127273"/>
    <n v="6.69"/>
    <n v="12323"/>
  </r>
  <r>
    <x v="1"/>
    <n v="754"/>
    <n v="150"/>
    <n v="189622"/>
    <n v="4.25"/>
    <n v="11911"/>
  </r>
  <r>
    <x v="2"/>
    <n v="1246"/>
    <n v="107"/>
    <n v="350949"/>
    <n v="4.9800000000000004"/>
    <n v="27809"/>
  </r>
  <r>
    <x v="0"/>
    <n v="780"/>
    <n v="213"/>
    <n v="121431"/>
    <n v="4.97"/>
    <n v="21464"/>
  </r>
  <r>
    <x v="1"/>
    <n v="1425"/>
    <n v="143"/>
    <n v="116742"/>
    <n v="3.71"/>
    <n v="27126"/>
  </r>
  <r>
    <x v="2"/>
    <n v="1490"/>
    <n v="103"/>
    <n v="81184"/>
    <n v="7.79"/>
    <n v="10681"/>
  </r>
  <r>
    <x v="0"/>
    <n v="949"/>
    <n v="282"/>
    <n v="87126"/>
    <n v="4.96"/>
    <n v="5413"/>
  </r>
  <r>
    <x v="1"/>
    <n v="640"/>
    <n v="141"/>
    <n v="267546"/>
    <n v="8.58"/>
    <n v="25058"/>
  </r>
  <r>
    <x v="2"/>
    <n v="616"/>
    <n v="93"/>
    <n v="133082"/>
    <n v="8.51"/>
    <n v="18303"/>
  </r>
  <r>
    <x v="0"/>
    <n v="1080"/>
    <n v="184"/>
    <n v="340557"/>
    <n v="5.41"/>
    <n v="5526"/>
  </r>
  <r>
    <x v="1"/>
    <n v="938"/>
    <n v="236"/>
    <n v="116472"/>
    <n v="8.7200000000000006"/>
    <n v="17460"/>
  </r>
  <r>
    <x v="2"/>
    <n v="1007"/>
    <n v="258"/>
    <n v="113412"/>
    <n v="7.71"/>
    <n v="14475"/>
  </r>
  <r>
    <x v="0"/>
    <n v="541"/>
    <n v="208"/>
    <n v="157547"/>
    <n v="8.35"/>
    <n v="20162"/>
  </r>
  <r>
    <x v="1"/>
    <n v="745"/>
    <n v="98"/>
    <n v="354816"/>
    <n v="4.03"/>
    <n v="17103"/>
  </r>
  <r>
    <x v="2"/>
    <n v="936"/>
    <n v="97"/>
    <n v="151799"/>
    <n v="9.3699999999999992"/>
    <n v="15461"/>
  </r>
  <r>
    <x v="0"/>
    <n v="1183"/>
    <n v="223"/>
    <n v="143811"/>
    <n v="6.07"/>
    <n v="22103"/>
  </r>
  <r>
    <x v="1"/>
    <n v="1413"/>
    <n v="245"/>
    <n v="296450"/>
    <n v="6.52"/>
    <n v="11625"/>
  </r>
  <r>
    <x v="2"/>
    <n v="791"/>
    <n v="273"/>
    <n v="144049"/>
    <n v="3.08"/>
    <n v="5281"/>
  </r>
  <r>
    <x v="0"/>
    <n v="1052"/>
    <n v="180"/>
    <n v="272534"/>
    <n v="5.34"/>
    <n v="13424"/>
  </r>
  <r>
    <x v="1"/>
    <n v="572"/>
    <n v="270"/>
    <n v="82265"/>
    <n v="3.65"/>
    <n v="13140"/>
  </r>
  <r>
    <x v="2"/>
    <n v="503"/>
    <n v="253"/>
    <n v="313562"/>
    <n v="4.18"/>
    <n v="19538"/>
  </r>
  <r>
    <x v="0"/>
    <n v="1017"/>
    <n v="197"/>
    <n v="89918"/>
    <n v="3.91"/>
    <n v="7881"/>
  </r>
  <r>
    <x v="1"/>
    <n v="860"/>
    <n v="244"/>
    <n v="348686"/>
    <n v="5.12"/>
    <n v="1141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23728"/>
  </r>
  <r>
    <x v="1"/>
    <n v="31336"/>
  </r>
  <r>
    <x v="0"/>
    <n v="50746"/>
  </r>
  <r>
    <x v="0"/>
    <n v="33049"/>
  </r>
  <r>
    <x v="1"/>
    <n v="27349"/>
  </r>
  <r>
    <x v="1"/>
    <n v="62779"/>
  </r>
  <r>
    <x v="0"/>
    <n v="25642"/>
  </r>
  <r>
    <x v="0"/>
    <n v="22696"/>
  </r>
  <r>
    <x v="0"/>
    <n v="63619"/>
  </r>
  <r>
    <x v="0"/>
    <n v="24207"/>
  </r>
  <r>
    <x v="1"/>
    <n v="33375"/>
  </r>
  <r>
    <x v="0"/>
    <n v="39990"/>
  </r>
  <r>
    <x v="0"/>
    <n v="62331"/>
  </r>
  <r>
    <x v="0"/>
    <n v="39426"/>
  </r>
  <r>
    <x v="0"/>
    <n v="41147"/>
  </r>
  <r>
    <x v="0"/>
    <n v="52403"/>
  </r>
  <r>
    <x v="0"/>
    <n v="42961"/>
  </r>
  <r>
    <x v="2"/>
    <n v="36794"/>
  </r>
  <r>
    <x v="3"/>
    <n v="33672"/>
  </r>
  <r>
    <x v="1"/>
    <n v="32981"/>
  </r>
  <r>
    <x v="2"/>
    <n v="57576"/>
  </r>
  <r>
    <x v="0"/>
    <n v="33601"/>
  </r>
  <r>
    <x v="3"/>
    <n v="44889"/>
  </r>
  <r>
    <x v="1"/>
    <n v="31493"/>
  </r>
  <r>
    <x v="3"/>
    <n v="58850"/>
  </r>
  <r>
    <x v="0"/>
    <n v="58156"/>
  </r>
  <r>
    <x v="0"/>
    <n v="34096"/>
  </r>
  <r>
    <x v="3"/>
    <n v="53376"/>
  </r>
  <r>
    <x v="0"/>
    <n v="61051"/>
  </r>
  <r>
    <x v="0"/>
    <n v="29273"/>
  </r>
  <r>
    <x v="0"/>
    <n v="60599"/>
  </r>
  <r>
    <x v="0"/>
    <n v="46279"/>
  </r>
  <r>
    <x v="0"/>
    <n v="37399"/>
  </r>
  <r>
    <x v="0"/>
    <n v="39429"/>
  </r>
  <r>
    <x v="0"/>
    <n v="43676"/>
  </r>
  <r>
    <x v="1"/>
    <n v="45420"/>
  </r>
  <r>
    <x v="0"/>
    <n v="49475"/>
  </r>
  <r>
    <x v="2"/>
    <n v="46054"/>
  </r>
  <r>
    <x v="1"/>
    <n v="52860"/>
  </r>
  <r>
    <x v="0"/>
    <n v="31232"/>
  </r>
  <r>
    <x v="0"/>
    <n v="45541"/>
  </r>
  <r>
    <x v="2"/>
    <n v="48515"/>
  </r>
  <r>
    <x v="0"/>
    <n v="53791"/>
  </r>
  <r>
    <x v="1"/>
    <n v="53298"/>
  </r>
  <r>
    <x v="1"/>
    <n v="40155"/>
  </r>
  <r>
    <x v="1"/>
    <n v="27008"/>
  </r>
  <r>
    <x v="3"/>
    <n v="43319"/>
  </r>
  <r>
    <x v="2"/>
    <n v="27391"/>
  </r>
  <r>
    <x v="0"/>
    <n v="47910"/>
  </r>
  <r>
    <x v="0"/>
    <n v="29439"/>
  </r>
  <r>
    <x v="3"/>
    <n v="50260"/>
  </r>
  <r>
    <x v="0"/>
    <n v="24519"/>
  </r>
  <r>
    <x v="0"/>
    <n v="60589"/>
  </r>
  <r>
    <x v="1"/>
    <n v="63165"/>
  </r>
  <r>
    <x v="0"/>
    <n v="54133"/>
  </r>
  <r>
    <x v="2"/>
    <n v="26109"/>
  </r>
  <r>
    <x v="1"/>
    <n v="34207"/>
  </r>
  <r>
    <x v="1"/>
    <n v="42504"/>
  </r>
  <r>
    <x v="1"/>
    <n v="54906"/>
  </r>
  <r>
    <x v="1"/>
    <n v="50293"/>
  </r>
  <r>
    <x v="3"/>
    <n v="48166"/>
  </r>
  <r>
    <x v="0"/>
    <n v="56177"/>
  </r>
  <r>
    <x v="1"/>
    <n v="38574"/>
  </r>
  <r>
    <x v="0"/>
    <n v="55718"/>
  </r>
  <r>
    <x v="1"/>
    <n v="55402"/>
  </r>
  <r>
    <x v="0"/>
    <n v="63855"/>
  </r>
  <r>
    <x v="3"/>
    <n v="35449"/>
  </r>
  <r>
    <x v="1"/>
    <n v="24077"/>
  </r>
  <r>
    <x v="0"/>
    <n v="46235"/>
  </r>
  <r>
    <x v="0"/>
    <n v="56882"/>
  </r>
  <r>
    <x v="1"/>
    <n v="33267"/>
  </r>
  <r>
    <x v="1"/>
    <n v="21921"/>
  </r>
  <r>
    <x v="3"/>
    <n v="37883"/>
  </r>
  <r>
    <x v="0"/>
    <n v="55193"/>
  </r>
  <r>
    <x v="0"/>
    <n v="43602"/>
  </r>
  <r>
    <x v="1"/>
    <n v="41336"/>
  </r>
  <r>
    <x v="0"/>
    <n v="33095"/>
  </r>
  <r>
    <x v="0"/>
    <n v="25183"/>
  </r>
  <r>
    <x v="3"/>
    <n v="40444"/>
  </r>
  <r>
    <x v="0"/>
    <n v="39841"/>
  </r>
  <r>
    <x v="1"/>
    <n v="61041"/>
  </r>
  <r>
    <x v="1"/>
    <n v="45934"/>
  </r>
  <r>
    <x v="0"/>
    <n v="39603"/>
  </r>
  <r>
    <x v="0"/>
    <n v="34154"/>
  </r>
  <r>
    <x v="0"/>
    <n v="60914"/>
  </r>
  <r>
    <x v="0"/>
    <n v="37680"/>
  </r>
  <r>
    <x v="0"/>
    <n v="56278"/>
  </r>
  <r>
    <x v="0"/>
    <n v="35846"/>
  </r>
  <r>
    <x v="0"/>
    <n v="35089"/>
  </r>
  <r>
    <x v="0"/>
    <n v="25613"/>
  </r>
  <r>
    <x v="1"/>
    <n v="21935"/>
  </r>
  <r>
    <x v="3"/>
    <n v="32351"/>
  </r>
  <r>
    <x v="1"/>
    <n v="26910"/>
  </r>
  <r>
    <x v="0"/>
    <n v="41412"/>
  </r>
  <r>
    <x v="2"/>
    <n v="23762"/>
  </r>
  <r>
    <x v="0"/>
    <n v="27232"/>
  </r>
  <r>
    <x v="1"/>
    <n v="45832"/>
  </r>
  <r>
    <x v="0"/>
    <n v="64678"/>
  </r>
  <r>
    <x v="0"/>
    <n v="42923"/>
  </r>
  <r>
    <x v="1"/>
    <n v="39275"/>
  </r>
  <r>
    <x v="0"/>
    <n v="48399"/>
  </r>
  <r>
    <x v="0"/>
    <n v="27094"/>
  </r>
  <r>
    <x v="0"/>
    <n v="33963"/>
  </r>
  <r>
    <x v="0"/>
    <n v="38985"/>
  </r>
  <r>
    <x v="0"/>
    <n v="55101"/>
  </r>
  <r>
    <x v="0"/>
    <n v="26044"/>
  </r>
  <r>
    <x v="1"/>
    <n v="57045"/>
  </r>
  <r>
    <x v="3"/>
    <n v="45991"/>
  </r>
  <r>
    <x v="0"/>
    <n v="39966"/>
  </r>
  <r>
    <x v="1"/>
    <n v="28781"/>
  </r>
  <r>
    <x v="3"/>
    <n v="38793"/>
  </r>
  <r>
    <x v="0"/>
    <n v="37677"/>
  </r>
  <r>
    <x v="0"/>
    <n v="56240"/>
  </r>
  <r>
    <x v="0"/>
    <n v="48120"/>
  </r>
  <r>
    <x v="1"/>
    <n v="61879"/>
  </r>
  <r>
    <x v="2"/>
    <n v="38704"/>
  </r>
  <r>
    <x v="2"/>
    <n v="60708"/>
  </r>
  <r>
    <x v="0"/>
    <n v="56742"/>
  </r>
  <r>
    <x v="0"/>
    <n v="46648"/>
  </r>
  <r>
    <x v="1"/>
    <n v="56302"/>
  </r>
  <r>
    <x v="2"/>
    <n v="53105"/>
  </r>
  <r>
    <x v="0"/>
    <n v="52720"/>
  </r>
  <r>
    <x v="1"/>
    <n v="62230"/>
  </r>
  <r>
    <x v="0"/>
    <n v="49904"/>
  </r>
  <r>
    <x v="0"/>
    <n v="36476"/>
  </r>
  <r>
    <x v="0"/>
    <n v="59393"/>
  </r>
  <r>
    <x v="1"/>
    <n v="55086"/>
  </r>
  <r>
    <x v="0"/>
    <n v="26693"/>
  </r>
  <r>
    <x v="0"/>
    <n v="52322"/>
  </r>
  <r>
    <x v="1"/>
    <n v="61354"/>
  </r>
  <r>
    <x v="1"/>
    <n v="43844"/>
  </r>
  <r>
    <x v="0"/>
    <n v="54118"/>
  </r>
  <r>
    <x v="1"/>
    <n v="53811"/>
  </r>
  <r>
    <x v="0"/>
    <n v="32035"/>
  </r>
  <r>
    <x v="0"/>
    <n v="40618"/>
  </r>
  <r>
    <x v="0"/>
    <n v="26754"/>
  </r>
  <r>
    <x v="0"/>
    <n v="38054"/>
  </r>
  <r>
    <x v="0"/>
    <n v="49804"/>
  </r>
  <r>
    <x v="0"/>
    <n v="30805"/>
  </r>
  <r>
    <x v="0"/>
    <n v="31520"/>
  </r>
  <r>
    <x v="3"/>
    <n v="61823"/>
  </r>
  <r>
    <x v="2"/>
    <n v="48334"/>
  </r>
  <r>
    <x v="1"/>
    <n v="57392"/>
  </r>
  <r>
    <x v="0"/>
    <n v="51988"/>
  </r>
  <r>
    <x v="0"/>
    <n v="45356"/>
  </r>
  <r>
    <x v="1"/>
    <n v="43747"/>
  </r>
  <r>
    <x v="0"/>
    <n v="41778"/>
  </r>
  <r>
    <x v="0"/>
    <n v="53039"/>
  </r>
  <r>
    <x v="1"/>
    <n v="61170"/>
  </r>
  <r>
    <x v="0"/>
    <n v="32748"/>
  </r>
  <r>
    <x v="2"/>
    <n v="55689"/>
  </r>
  <r>
    <x v="1"/>
    <n v="40490"/>
  </r>
  <r>
    <x v="0"/>
    <n v="56287"/>
  </r>
  <r>
    <x v="1"/>
    <n v="54492"/>
  </r>
  <r>
    <x v="0"/>
    <n v="44884"/>
  </r>
  <r>
    <x v="3"/>
    <n v="54715"/>
  </r>
  <r>
    <x v="1"/>
    <n v="29193"/>
  </r>
  <r>
    <x v="0"/>
    <n v="38523"/>
  </r>
  <r>
    <x v="2"/>
    <n v="27182"/>
  </r>
  <r>
    <x v="3"/>
    <n v="48407"/>
  </r>
  <r>
    <x v="1"/>
    <n v="26185"/>
  </r>
  <r>
    <x v="0"/>
    <n v="27908"/>
  </r>
  <r>
    <x v="3"/>
    <n v="37816"/>
  </r>
  <r>
    <x v="2"/>
    <n v="53222"/>
  </r>
  <r>
    <x v="2"/>
    <n v="30027"/>
  </r>
  <r>
    <x v="1"/>
    <n v="57910"/>
  </r>
  <r>
    <x v="1"/>
    <n v="34420"/>
  </r>
  <r>
    <x v="0"/>
    <n v="36640"/>
  </r>
  <r>
    <x v="1"/>
    <n v="56129"/>
  </r>
  <r>
    <x v="1"/>
    <n v="36924"/>
  </r>
  <r>
    <x v="2"/>
    <n v="28584"/>
  </r>
  <r>
    <x v="1"/>
    <n v="31096"/>
  </r>
  <r>
    <x v="1"/>
    <n v="47325"/>
  </r>
  <r>
    <x v="1"/>
    <n v="57819"/>
  </r>
  <r>
    <x v="0"/>
    <n v="57571"/>
  </r>
  <r>
    <x v="0"/>
    <n v="50112"/>
  </r>
  <r>
    <x v="1"/>
    <n v="37471"/>
  </r>
  <r>
    <x v="2"/>
    <n v="63811"/>
  </r>
  <r>
    <x v="1"/>
    <n v="42340"/>
  </r>
  <r>
    <x v="0"/>
    <n v="62343"/>
  </r>
  <r>
    <x v="1"/>
    <n v="62078"/>
  </r>
  <r>
    <x v="0"/>
    <n v="50225"/>
  </r>
  <r>
    <x v="1"/>
    <n v="25510"/>
  </r>
  <r>
    <x v="0"/>
    <n v="50294"/>
  </r>
  <r>
    <x v="3"/>
    <n v="40932"/>
  </r>
  <r>
    <x v="0"/>
    <n v="27386"/>
  </r>
  <r>
    <x v="3"/>
    <n v="42176"/>
  </r>
  <r>
    <x v="1"/>
    <n v="49277"/>
  </r>
  <r>
    <x v="3"/>
    <n v="54372"/>
  </r>
  <r>
    <x v="0"/>
    <n v="35047"/>
  </r>
  <r>
    <x v="3"/>
    <n v="49541"/>
  </r>
  <r>
    <x v="0"/>
    <n v="60760"/>
  </r>
  <r>
    <x v="3"/>
    <n v="27975"/>
  </r>
  <r>
    <x v="0"/>
    <n v="61419"/>
  </r>
  <r>
    <x v="1"/>
    <n v="44103"/>
  </r>
  <r>
    <x v="0"/>
    <n v="50853"/>
  </r>
  <r>
    <x v="1"/>
    <n v="61180"/>
  </r>
  <r>
    <x v="0"/>
    <n v="45087"/>
  </r>
  <r>
    <x v="0"/>
    <n v="37514"/>
  </r>
  <r>
    <x v="0"/>
    <n v="58519"/>
  </r>
  <r>
    <x v="0"/>
    <n v="37412"/>
  </r>
  <r>
    <x v="0"/>
    <n v="27413"/>
  </r>
  <r>
    <x v="1"/>
    <n v="33162"/>
  </r>
  <r>
    <x v="0"/>
    <n v="51739"/>
  </r>
  <r>
    <x v="1"/>
    <n v="58501"/>
  </r>
  <r>
    <x v="0"/>
    <n v="61780"/>
  </r>
  <r>
    <x v="0"/>
    <n v="54531"/>
  </r>
  <r>
    <x v="1"/>
    <n v="55865"/>
  </r>
  <r>
    <x v="0"/>
    <n v="47202"/>
  </r>
  <r>
    <x v="0"/>
    <n v="48514"/>
  </r>
  <r>
    <x v="0"/>
    <n v="49877"/>
  </r>
  <r>
    <x v="0"/>
    <n v="56270"/>
  </r>
  <r>
    <x v="2"/>
    <n v="36723"/>
  </r>
  <r>
    <x v="1"/>
    <n v="26042"/>
  </r>
  <r>
    <x v="1"/>
    <n v="40310"/>
  </r>
  <r>
    <x v="1"/>
    <n v="43252"/>
  </r>
  <r>
    <x v="0"/>
    <n v="28411"/>
  </r>
  <r>
    <x v="0"/>
    <n v="44143"/>
  </r>
  <r>
    <x v="1"/>
    <n v="53306"/>
  </r>
  <r>
    <x v="1"/>
    <n v="41196"/>
  </r>
  <r>
    <x v="0"/>
    <n v="29307"/>
  </r>
  <r>
    <x v="0"/>
    <n v="48557"/>
  </r>
  <r>
    <x v="1"/>
    <n v="55727"/>
  </r>
  <r>
    <x v="0"/>
    <n v="50036"/>
  </r>
  <r>
    <x v="1"/>
    <n v="42263"/>
  </r>
  <r>
    <x v="0"/>
    <n v="57377"/>
  </r>
  <r>
    <x v="1"/>
    <n v="41557"/>
  </r>
  <r>
    <x v="3"/>
    <n v="58355"/>
  </r>
  <r>
    <x v="1"/>
    <n v="61786"/>
  </r>
  <r>
    <x v="1"/>
    <n v="49443"/>
  </r>
  <r>
    <x v="0"/>
    <n v="31733"/>
  </r>
  <r>
    <x v="1"/>
    <n v="49206"/>
  </r>
  <r>
    <x v="0"/>
    <n v="42067"/>
  </r>
  <r>
    <x v="0"/>
    <n v="29208"/>
  </r>
  <r>
    <x v="1"/>
    <n v="44064"/>
  </r>
  <r>
    <x v="1"/>
    <n v="38909"/>
  </r>
  <r>
    <x v="1"/>
    <n v="43997"/>
  </r>
  <r>
    <x v="0"/>
    <n v="61964"/>
  </r>
  <r>
    <x v="0"/>
    <n v="38044"/>
  </r>
  <r>
    <x v="1"/>
    <n v="57397"/>
  </r>
  <r>
    <x v="0"/>
    <n v="55572"/>
  </r>
  <r>
    <x v="0"/>
    <n v="40228"/>
  </r>
  <r>
    <x v="0"/>
    <n v="30426"/>
  </r>
  <r>
    <x v="1"/>
    <n v="62002"/>
  </r>
  <r>
    <x v="0"/>
    <n v="50355"/>
  </r>
  <r>
    <x v="0"/>
    <n v="23788"/>
  </r>
  <r>
    <x v="0"/>
    <n v="60236"/>
  </r>
  <r>
    <x v="3"/>
    <n v="32858"/>
  </r>
  <r>
    <x v="1"/>
    <n v="30195"/>
  </r>
  <r>
    <x v="0"/>
    <n v="34720"/>
  </r>
  <r>
    <x v="1"/>
    <n v="59929"/>
  </r>
  <r>
    <x v="1"/>
    <n v="50841"/>
  </r>
  <r>
    <x v="1"/>
    <n v="51654"/>
  </r>
  <r>
    <x v="0"/>
    <n v="39688"/>
  </r>
  <r>
    <x v="0"/>
    <n v="51700"/>
  </r>
  <r>
    <x v="0"/>
    <n v="55095"/>
  </r>
  <r>
    <x v="0"/>
    <n v="48365"/>
  </r>
  <r>
    <x v="3"/>
    <n v="54719"/>
  </r>
  <r>
    <x v="0"/>
    <n v="33929"/>
  </r>
  <r>
    <x v="0"/>
    <n v="46838"/>
  </r>
  <r>
    <x v="1"/>
    <n v="54902"/>
  </r>
  <r>
    <x v="0"/>
    <n v="49523"/>
  </r>
  <r>
    <x v="1"/>
    <n v="54175"/>
  </r>
  <r>
    <x v="3"/>
    <n v="49066"/>
  </r>
  <r>
    <x v="0"/>
    <n v="54643"/>
  </r>
  <r>
    <x v="2"/>
    <n v="28431"/>
  </r>
  <r>
    <x v="1"/>
    <n v="50836"/>
  </r>
  <r>
    <x v="3"/>
    <n v="48595"/>
  </r>
  <r>
    <x v="3"/>
    <n v="61805"/>
  </r>
  <r>
    <x v="0"/>
    <n v="60597"/>
  </r>
  <r>
    <x v="0"/>
    <n v="27054"/>
  </r>
  <r>
    <x v="1"/>
    <n v="59276"/>
  </r>
  <r>
    <x v="0"/>
    <n v="54100"/>
  </r>
  <r>
    <x v="1"/>
    <n v="52270"/>
  </r>
  <r>
    <x v="1"/>
    <n v="63516"/>
  </r>
  <r>
    <x v="0"/>
    <n v="49596"/>
  </r>
  <r>
    <x v="2"/>
    <n v="24730"/>
  </r>
  <r>
    <x v="0"/>
    <n v="59728"/>
  </r>
  <r>
    <x v="0"/>
    <n v="24129"/>
  </r>
  <r>
    <x v="0"/>
    <n v="49517"/>
  </r>
  <r>
    <x v="0"/>
    <n v="61923"/>
  </r>
  <r>
    <x v="0"/>
    <n v="61235"/>
  </r>
  <r>
    <x v="1"/>
    <n v="60540"/>
  </r>
  <r>
    <x v="2"/>
    <n v="29685"/>
  </r>
  <r>
    <x v="1"/>
    <n v="58472"/>
  </r>
  <r>
    <x v="1"/>
    <n v="37418"/>
  </r>
  <r>
    <x v="1"/>
    <n v="32843"/>
  </r>
  <r>
    <x v="0"/>
    <n v="57664"/>
  </r>
  <r>
    <x v="2"/>
    <n v="58456"/>
  </r>
  <r>
    <x v="1"/>
    <n v="27500"/>
  </r>
  <r>
    <x v="0"/>
    <n v="48810"/>
  </r>
  <r>
    <x v="0"/>
    <n v="29813"/>
  </r>
  <r>
    <x v="3"/>
    <n v="42683"/>
  </r>
  <r>
    <x v="1"/>
    <n v="60071"/>
  </r>
  <r>
    <x v="2"/>
    <n v="28243"/>
  </r>
  <r>
    <x v="0"/>
    <n v="33583"/>
  </r>
  <r>
    <x v="1"/>
    <n v="54838"/>
  </r>
  <r>
    <x v="0"/>
    <n v="46328"/>
  </r>
  <r>
    <x v="0"/>
    <n v="54118"/>
  </r>
  <r>
    <x v="0"/>
    <n v="30912"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  <r>
    <x v="4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Instagram"/>
    <n v="1402"/>
    <n v="68"/>
    <n v="124562"/>
    <n v="9.92"/>
    <n v="23125"/>
    <n v="1.0709526179733787E-2"/>
    <n v="1334"/>
  </r>
  <r>
    <x v="0"/>
    <s v="Twitter"/>
    <n v="995"/>
    <n v="86"/>
    <n v="227958"/>
    <n v="8.0500000000000007"/>
    <n v="22788"/>
    <n v="3.9875766588582107E-3"/>
    <n v="909"/>
  </r>
  <r>
    <x v="0"/>
    <s v="YouTube"/>
    <n v="1472"/>
    <n v="296"/>
    <n v="370242"/>
    <n v="7.72"/>
    <n v="7810"/>
    <n v="3.176300905893983E-3"/>
    <n v="1176"/>
  </r>
  <r>
    <x v="1"/>
    <s v="Instagram"/>
    <n v="1018"/>
    <n v="90"/>
    <n v="92474"/>
    <n v="9.4"/>
    <n v="11966"/>
    <n v="1.0035253152237385E-2"/>
    <n v="928"/>
  </r>
  <r>
    <x v="1"/>
    <s v="Twitter"/>
    <n v="1461"/>
    <n v="64"/>
    <n v="328902"/>
    <n v="9.02"/>
    <n v="26298"/>
    <n v="4.247465810484582E-3"/>
    <n v="1397"/>
  </r>
  <r>
    <x v="1"/>
    <s v="YouTube"/>
    <n v="545"/>
    <n v="93"/>
    <n v="391621"/>
    <n v="9.9600000000000009"/>
    <n v="22029"/>
    <n v="1.1541771253329111E-3"/>
    <n v="452"/>
  </r>
  <r>
    <x v="2"/>
    <s v="Instagram"/>
    <n v="881"/>
    <n v="291"/>
    <n v="95885"/>
    <n v="5.29"/>
    <n v="12391"/>
    <n v="6.1532043593888509E-3"/>
    <n v="590"/>
  </r>
  <r>
    <x v="2"/>
    <s v="Twitter"/>
    <n v="1414"/>
    <n v="131"/>
    <n v="245947"/>
    <n v="8.3000000000000007"/>
    <n v="14477"/>
    <n v="5.2165710498603361E-3"/>
    <n v="1283"/>
  </r>
  <r>
    <x v="2"/>
    <s v="YouTube"/>
    <n v="1472"/>
    <n v="170"/>
    <n v="250428"/>
    <n v="4.66"/>
    <n v="25040"/>
    <n v="5.1990991422684362E-3"/>
    <n v="1302"/>
  </r>
  <r>
    <x v="3"/>
    <s v="Instagram"/>
    <n v="809"/>
    <n v="197"/>
    <n v="87186"/>
    <n v="9.48"/>
    <n v="22619"/>
    <n v="7.0194756038813571E-3"/>
    <n v="612"/>
  </r>
  <r>
    <x v="3"/>
    <s v="Twitter"/>
    <n v="1371"/>
    <n v="250"/>
    <n v="128620"/>
    <n v="7.11"/>
    <n v="12399"/>
    <n v="8.7155963302752298E-3"/>
    <n v="1121"/>
  </r>
  <r>
    <x v="3"/>
    <s v="YouTube"/>
    <n v="844"/>
    <n v="144"/>
    <n v="126015"/>
    <n v="9.65"/>
    <n v="22456"/>
    <n v="5.5548942586200059E-3"/>
    <n v="700"/>
  </r>
  <r>
    <x v="4"/>
    <s v="Instagram"/>
    <n v="786"/>
    <n v="72"/>
    <n v="178615"/>
    <n v="5.43"/>
    <n v="19328"/>
    <n v="3.9974246283906723E-3"/>
    <n v="714"/>
  </r>
  <r>
    <x v="4"/>
    <s v="Twitter"/>
    <n v="845"/>
    <n v="250"/>
    <n v="218228"/>
    <n v="4.5199999999999996"/>
    <n v="21107"/>
    <n v="2.7265062228494967E-3"/>
    <n v="595"/>
  </r>
  <r>
    <x v="4"/>
    <s v="YouTube"/>
    <n v="1218"/>
    <n v="101"/>
    <n v="300397"/>
    <n v="4.33"/>
    <n v="12277"/>
    <n v="3.7184126339477423E-3"/>
    <n v="1117"/>
  </r>
  <r>
    <x v="5"/>
    <s v="Instagram"/>
    <n v="797"/>
    <n v="130"/>
    <n v="340121"/>
    <n v="8.52"/>
    <n v="11684"/>
    <n v="1.9610667968164271E-3"/>
    <n v="667"/>
  </r>
  <r>
    <x v="5"/>
    <s v="Twitter"/>
    <n v="1471"/>
    <n v="100"/>
    <n v="76866"/>
    <n v="8.5500000000000007"/>
    <n v="14412"/>
    <n v="1.7836234485988603E-2"/>
    <n v="1371"/>
  </r>
  <r>
    <x v="5"/>
    <s v="YouTube"/>
    <n v="1253"/>
    <n v="136"/>
    <n v="193131"/>
    <n v="7.99"/>
    <n v="15924"/>
    <n v="5.7836390843520723E-3"/>
    <n v="1117"/>
  </r>
  <r>
    <x v="6"/>
    <s v="Instagram"/>
    <n v="616"/>
    <n v="257"/>
    <n v="169665"/>
    <n v="6.31"/>
    <n v="12390"/>
    <n v="2.1159343412017798E-3"/>
    <n v="359"/>
  </r>
  <r>
    <x v="6"/>
    <s v="Twitter"/>
    <n v="1308"/>
    <n v="210"/>
    <n v="263729"/>
    <n v="8.5299999999999994"/>
    <n v="25742"/>
    <n v="4.1633646660018432E-3"/>
    <n v="1098"/>
  </r>
  <r>
    <x v="6"/>
    <s v="YouTube"/>
    <n v="981"/>
    <n v="69"/>
    <n v="206921"/>
    <n v="8.42"/>
    <n v="10495"/>
    <n v="4.4074791828765565E-3"/>
    <n v="912"/>
  </r>
  <r>
    <x v="7"/>
    <s v="Instagram"/>
    <n v="866"/>
    <n v="74"/>
    <n v="204121"/>
    <n v="9.34"/>
    <n v="7797"/>
    <n v="3.8800515380583087E-3"/>
    <n v="792"/>
  </r>
  <r>
    <x v="7"/>
    <s v="Twitter"/>
    <n v="547"/>
    <n v="183"/>
    <n v="266350"/>
    <n v="5.65"/>
    <n v="15595"/>
    <n v="1.3666228646517741E-3"/>
    <n v="364"/>
  </r>
  <r>
    <x v="7"/>
    <s v="YouTube"/>
    <n v="1241"/>
    <n v="116"/>
    <n v="380606"/>
    <n v="4.2"/>
    <n v="24617"/>
    <n v="2.9558125725816196E-3"/>
    <n v="1125"/>
  </r>
  <r>
    <x v="8"/>
    <s v="Instagram"/>
    <n v="973"/>
    <n v="104"/>
    <n v="376358"/>
    <n v="3.87"/>
    <n v="9847"/>
    <n v="2.3089717768720206E-3"/>
    <n v="869"/>
  </r>
  <r>
    <x v="8"/>
    <s v="Twitter"/>
    <n v="611"/>
    <n v="197"/>
    <n v="79423"/>
    <n v="5.82"/>
    <n v="13644"/>
    <n v="5.2125958475504573E-3"/>
    <n v="414"/>
  </r>
  <r>
    <x v="8"/>
    <s v="YouTube"/>
    <n v="983"/>
    <n v="134"/>
    <n v="352178"/>
    <n v="3.55"/>
    <n v="11421"/>
    <n v="2.4107127645679174E-3"/>
    <n v="849"/>
  </r>
  <r>
    <x v="9"/>
    <s v="Instagram"/>
    <n v="1449"/>
    <n v="96"/>
    <n v="200636"/>
    <n v="9.92"/>
    <n v="15613"/>
    <n v="6.7435554935305723E-3"/>
    <n v="1353"/>
  </r>
  <r>
    <x v="9"/>
    <s v="Twitter"/>
    <n v="752"/>
    <n v="170"/>
    <n v="132756"/>
    <n v="8.17"/>
    <n v="23900"/>
    <n v="4.3839826448522105E-3"/>
    <n v="582"/>
  </r>
  <r>
    <x v="9"/>
    <s v="YouTube"/>
    <n v="937"/>
    <n v="179"/>
    <n v="318098"/>
    <n v="5.3"/>
    <n v="5836"/>
    <n v="2.3829134417695176E-3"/>
    <n v="758"/>
  </r>
  <r>
    <x v="10"/>
    <s v="Instagram"/>
    <n v="1060"/>
    <n v="83"/>
    <n v="68724"/>
    <n v="5.98"/>
    <n v="5624"/>
    <n v="1.4216285431581398E-2"/>
    <n v="977"/>
  </r>
  <r>
    <x v="10"/>
    <s v="Twitter"/>
    <n v="1456"/>
    <n v="265"/>
    <n v="115505"/>
    <n v="7.49"/>
    <n v="10311"/>
    <n v="1.031124193757846E-2"/>
    <n v="1191"/>
  </r>
  <r>
    <x v="10"/>
    <s v="YouTube"/>
    <n v="1109"/>
    <n v="205"/>
    <n v="276722"/>
    <n v="9.3800000000000008"/>
    <n v="8274"/>
    <n v="3.2668165162148292E-3"/>
    <n v="904"/>
  </r>
  <r>
    <x v="11"/>
    <s v="Instagram"/>
    <n v="1002"/>
    <n v="93"/>
    <n v="353538"/>
    <n v="5.84"/>
    <n v="6031"/>
    <n v="2.5711521816608116E-3"/>
    <n v="909"/>
  </r>
  <r>
    <x v="11"/>
    <s v="Twitter"/>
    <n v="571"/>
    <n v="189"/>
    <n v="61445"/>
    <n v="5.41"/>
    <n v="27829"/>
    <n v="6.2169419806330862E-3"/>
    <n v="382"/>
  </r>
  <r>
    <x v="11"/>
    <s v="YouTube"/>
    <n v="1240"/>
    <n v="231"/>
    <n v="165035"/>
    <n v="6.05"/>
    <n v="18267"/>
    <n v="6.1138546368952043E-3"/>
    <n v="1009"/>
  </r>
  <r>
    <x v="12"/>
    <s v="Instagram"/>
    <n v="1154"/>
    <n v="132"/>
    <n v="194595"/>
    <n v="7.54"/>
    <n v="26624"/>
    <n v="5.2519335029163131E-3"/>
    <n v="1022"/>
  </r>
  <r>
    <x v="12"/>
    <s v="Twitter"/>
    <n v="537"/>
    <n v="275"/>
    <n v="236238"/>
    <n v="5.87"/>
    <n v="26644"/>
    <n v="1.1090510417460359E-3"/>
    <n v="262"/>
  </r>
  <r>
    <x v="12"/>
    <s v="YouTube"/>
    <n v="1456"/>
    <n v="290"/>
    <n v="271044"/>
    <n v="7.17"/>
    <n v="13051"/>
    <n v="4.3018845648676966E-3"/>
    <n v="1166"/>
  </r>
  <r>
    <x v="13"/>
    <s v="Instagram"/>
    <n v="721"/>
    <n v="206"/>
    <n v="334887"/>
    <n v="6.05"/>
    <n v="14217"/>
    <n v="1.5378321642822803E-3"/>
    <n v="515"/>
  </r>
  <r>
    <x v="13"/>
    <s v="Twitter"/>
    <n v="1098"/>
    <n v="142"/>
    <n v="359150"/>
    <n v="7.51"/>
    <n v="16385"/>
    <n v="2.6618404566337186E-3"/>
    <n v="956"/>
  </r>
  <r>
    <x v="13"/>
    <s v="YouTube"/>
    <n v="1096"/>
    <n v="65"/>
    <n v="358295"/>
    <n v="7.66"/>
    <n v="24548"/>
    <n v="2.8775171297394605E-3"/>
    <n v="1031"/>
  </r>
  <r>
    <x v="14"/>
    <s v="Instagram"/>
    <n v="912"/>
    <n v="275"/>
    <n v="368454"/>
    <n v="6.03"/>
    <n v="9195"/>
    <n v="1.7288453918263881E-3"/>
    <n v="637"/>
  </r>
  <r>
    <x v="14"/>
    <s v="Twitter"/>
    <n v="1430"/>
    <n v="162"/>
    <n v="269082"/>
    <n v="3.4"/>
    <n v="18071"/>
    <n v="4.7123181781018424E-3"/>
    <n v="1268"/>
  </r>
  <r>
    <x v="14"/>
    <s v="YouTube"/>
    <n v="854"/>
    <n v="129"/>
    <n v="310903"/>
    <n v="7.83"/>
    <n v="16875"/>
    <n v="2.3319170287838973E-3"/>
    <n v="725"/>
  </r>
  <r>
    <x v="15"/>
    <s v="Instagram"/>
    <n v="681"/>
    <n v="210"/>
    <n v="248581"/>
    <n v="8.76"/>
    <n v="9567"/>
    <n v="1.8947546272643525E-3"/>
    <n v="471"/>
  </r>
  <r>
    <x v="15"/>
    <s v="Twitter"/>
    <n v="1373"/>
    <n v="82"/>
    <n v="371015"/>
    <n v="9.52"/>
    <n v="20306"/>
    <n v="3.4796436801746559E-3"/>
    <n v="1291"/>
  </r>
  <r>
    <x v="15"/>
    <s v="YouTube"/>
    <n v="685"/>
    <n v="285"/>
    <n v="177452"/>
    <n v="3.36"/>
    <n v="21134"/>
    <n v="2.2541306944976669E-3"/>
    <n v="400"/>
  </r>
  <r>
    <x v="16"/>
    <s v="Instagram"/>
    <n v="1290"/>
    <n v="177"/>
    <n v="80745"/>
    <n v="9.2200000000000006"/>
    <n v="26872"/>
    <n v="1.3784135240572171E-2"/>
    <n v="1113"/>
  </r>
  <r>
    <x v="16"/>
    <s v="Twitter"/>
    <n v="1437"/>
    <n v="239"/>
    <n v="362441"/>
    <n v="5.57"/>
    <n v="10253"/>
    <n v="3.305365562946797E-3"/>
    <n v="1198"/>
  </r>
  <r>
    <x v="16"/>
    <s v="YouTube"/>
    <n v="769"/>
    <n v="295"/>
    <n v="344771"/>
    <n v="8.06"/>
    <n v="23963"/>
    <n v="1.3748256088824177E-3"/>
    <n v="474"/>
  </r>
  <r>
    <x v="17"/>
    <s v="Instagram"/>
    <n v="1416"/>
    <n v="284"/>
    <n v="374952"/>
    <n v="3.45"/>
    <n v="11335"/>
    <n v="3.0190531054641659E-3"/>
    <n v="1132"/>
  </r>
  <r>
    <x v="17"/>
    <s v="Twitter"/>
    <n v="998"/>
    <n v="154"/>
    <n v="179781"/>
    <n v="9.58"/>
    <n v="12115"/>
    <n v="4.6946006530167259E-3"/>
    <n v="844"/>
  </r>
  <r>
    <x v="17"/>
    <s v="YouTube"/>
    <n v="1421"/>
    <n v="246"/>
    <n v="358581"/>
    <n v="8.8800000000000008"/>
    <n v="24358"/>
    <n v="3.2768049617799048E-3"/>
    <n v="1175"/>
  </r>
  <r>
    <x v="18"/>
    <s v="Instagram"/>
    <n v="764"/>
    <n v="205"/>
    <n v="319294"/>
    <n v="6.23"/>
    <n v="12181"/>
    <n v="1.7507375647522346E-3"/>
    <n v="559"/>
  </r>
  <r>
    <x v="18"/>
    <s v="Twitter"/>
    <n v="678"/>
    <n v="124"/>
    <n v="192022"/>
    <n v="8.4499999999999993"/>
    <n v="17729"/>
    <n v="2.8850860838862216E-3"/>
    <n v="554"/>
  </r>
  <r>
    <x v="18"/>
    <s v="YouTube"/>
    <n v="1328"/>
    <n v="103"/>
    <n v="151462"/>
    <n v="8.4"/>
    <n v="10881"/>
    <n v="8.0878372132944243E-3"/>
    <n v="1225"/>
  </r>
  <r>
    <x v="19"/>
    <s v="Instagram"/>
    <n v="1161"/>
    <n v="269"/>
    <n v="188193"/>
    <n v="7.34"/>
    <n v="18576"/>
    <n v="4.7398149771776844E-3"/>
    <n v="892"/>
  </r>
  <r>
    <x v="19"/>
    <s v="Twitter"/>
    <n v="588"/>
    <n v="52"/>
    <n v="292040"/>
    <n v="8.14"/>
    <n v="9383"/>
    <n v="1.8353650184906177E-3"/>
    <n v="536"/>
  </r>
  <r>
    <x v="19"/>
    <s v="YouTube"/>
    <n v="1457"/>
    <n v="215"/>
    <n v="325325"/>
    <n v="9.58"/>
    <n v="14178"/>
    <n v="3.8177207407976638E-3"/>
    <n v="1242"/>
  </r>
  <r>
    <x v="20"/>
    <s v="Instagram"/>
    <n v="1190"/>
    <n v="242"/>
    <n v="86849"/>
    <n v="8.06"/>
    <n v="21254"/>
    <n v="1.0915497012055407E-2"/>
    <n v="948"/>
  </r>
  <r>
    <x v="20"/>
    <s v="Twitter"/>
    <n v="886"/>
    <n v="124"/>
    <n v="141161"/>
    <n v="8.19"/>
    <n v="14215"/>
    <n v="5.3980915408646862E-3"/>
    <n v="762"/>
  </r>
  <r>
    <x v="20"/>
    <s v="YouTube"/>
    <n v="1237"/>
    <n v="155"/>
    <n v="149916"/>
    <n v="4.4800000000000004"/>
    <n v="16921"/>
    <n v="7.2173750633688196E-3"/>
    <n v="1082"/>
  </r>
  <r>
    <x v="21"/>
    <s v="Instagram"/>
    <n v="1435"/>
    <n v="261"/>
    <n v="308533"/>
    <n v="4.5199999999999996"/>
    <n v="25130"/>
    <n v="3.8051035059458792E-3"/>
    <n v="1174"/>
  </r>
  <r>
    <x v="21"/>
    <s v="Twitter"/>
    <n v="746"/>
    <n v="282"/>
    <n v="293894"/>
    <n v="5.42"/>
    <n v="25537"/>
    <n v="1.5788005199153436E-3"/>
    <n v="464"/>
  </r>
  <r>
    <x v="21"/>
    <s v="YouTube"/>
    <n v="759"/>
    <n v="216"/>
    <n v="147656"/>
    <n v="4.08"/>
    <n v="24943"/>
    <n v="3.6774665438586984E-3"/>
    <n v="543"/>
  </r>
  <r>
    <x v="22"/>
    <s v="Instagram"/>
    <n v="1437"/>
    <n v="235"/>
    <n v="326791"/>
    <n v="4.0599999999999996"/>
    <n v="14563"/>
    <n v="3.6781918718691762E-3"/>
    <n v="1202"/>
  </r>
  <r>
    <x v="22"/>
    <s v="Twitter"/>
    <n v="1463"/>
    <n v="73"/>
    <n v="348877"/>
    <n v="9.91"/>
    <n v="26273"/>
    <n v="3.9842122008616216E-3"/>
    <n v="1390"/>
  </r>
  <r>
    <x v="22"/>
    <s v="YouTube"/>
    <n v="1208"/>
    <n v="224"/>
    <n v="122730"/>
    <n v="8.7200000000000006"/>
    <n v="10858"/>
    <n v="8.0175996088975802E-3"/>
    <n v="984"/>
  </r>
  <r>
    <x v="23"/>
    <s v="Instagram"/>
    <n v="1391"/>
    <n v="187"/>
    <n v="306508"/>
    <n v="8.3800000000000008"/>
    <n v="25038"/>
    <n v="3.9281193313061976E-3"/>
    <n v="1204"/>
  </r>
  <r>
    <x v="23"/>
    <s v="Twitter"/>
    <n v="655"/>
    <n v="123"/>
    <n v="202472"/>
    <n v="7.56"/>
    <n v="9092"/>
    <n v="2.6275238057607967E-3"/>
    <n v="532"/>
  </r>
  <r>
    <x v="23"/>
    <s v="YouTube"/>
    <n v="1148"/>
    <n v="90"/>
    <n v="227249"/>
    <n v="7.24"/>
    <n v="17662"/>
    <n v="4.6556860536239985E-3"/>
    <n v="1058"/>
  </r>
  <r>
    <x v="24"/>
    <s v="Instagram"/>
    <n v="946"/>
    <n v="270"/>
    <n v="246567"/>
    <n v="4.53"/>
    <n v="5924"/>
    <n v="2.741648314656868E-3"/>
    <n v="676"/>
  </r>
  <r>
    <x v="24"/>
    <s v="Twitter"/>
    <n v="791"/>
    <n v="214"/>
    <n v="114738"/>
    <n v="6.62"/>
    <n v="25347"/>
    <n v="5.0288483327232481E-3"/>
    <n v="577"/>
  </r>
  <r>
    <x v="24"/>
    <s v="YouTube"/>
    <n v="793"/>
    <n v="111"/>
    <n v="333500"/>
    <n v="6.36"/>
    <n v="8910"/>
    <n v="2.0449775112443779E-3"/>
    <n v="682"/>
  </r>
  <r>
    <x v="25"/>
    <s v="Instagram"/>
    <n v="663"/>
    <n v="213"/>
    <n v="352677"/>
    <n v="9"/>
    <n v="20438"/>
    <n v="1.2759550523566889E-3"/>
    <n v="450"/>
  </r>
  <r>
    <x v="25"/>
    <s v="Twitter"/>
    <n v="954"/>
    <n v="271"/>
    <n v="160936"/>
    <n v="8.83"/>
    <n v="8760"/>
    <n v="4.2439230501565839E-3"/>
    <n v="683"/>
  </r>
  <r>
    <x v="25"/>
    <s v="YouTube"/>
    <n v="1313"/>
    <n v="159"/>
    <n v="197183"/>
    <n v="9.7100000000000009"/>
    <n v="6625"/>
    <n v="5.8524314976443207E-3"/>
    <n v="1154"/>
  </r>
  <r>
    <x v="26"/>
    <s v="Instagram"/>
    <n v="895"/>
    <n v="87"/>
    <n v="171271"/>
    <n v="6.68"/>
    <n v="23329"/>
    <n v="4.7176696580273365E-3"/>
    <n v="808"/>
  </r>
  <r>
    <x v="26"/>
    <s v="Twitter"/>
    <n v="1027"/>
    <n v="156"/>
    <n v="111293"/>
    <n v="5.51"/>
    <n v="7299"/>
    <n v="7.8261885293774095E-3"/>
    <n v="871"/>
  </r>
  <r>
    <x v="26"/>
    <s v="YouTube"/>
    <n v="990"/>
    <n v="286"/>
    <n v="351493"/>
    <n v="7.97"/>
    <n v="14496"/>
    <n v="2.0028848369668811E-3"/>
    <n v="704"/>
  </r>
  <r>
    <x v="27"/>
    <s v="Instagram"/>
    <n v="875"/>
    <n v="264"/>
    <n v="345631"/>
    <n v="9.18"/>
    <n v="25703"/>
    <n v="1.7677812464738406E-3"/>
    <n v="611"/>
  </r>
  <r>
    <x v="27"/>
    <s v="Twitter"/>
    <n v="599"/>
    <n v="194"/>
    <n v="105622"/>
    <n v="6.44"/>
    <n v="15108"/>
    <n v="3.8344284334702996E-3"/>
    <n v="405"/>
  </r>
  <r>
    <x v="27"/>
    <s v="YouTube"/>
    <n v="630"/>
    <n v="248"/>
    <n v="119054"/>
    <n v="5.0199999999999996"/>
    <n v="18867"/>
    <n v="3.2086280175382597E-3"/>
    <n v="382"/>
  </r>
  <r>
    <x v="28"/>
    <s v="Instagram"/>
    <n v="1350"/>
    <n v="233"/>
    <n v="171670"/>
    <n v="4.53"/>
    <n v="17574"/>
    <n v="6.506669773402458E-3"/>
    <n v="1117"/>
  </r>
  <r>
    <x v="28"/>
    <s v="Twitter"/>
    <n v="632"/>
    <n v="155"/>
    <n v="170432"/>
    <n v="9.17"/>
    <n v="12840"/>
    <n v="2.7987701840030041E-3"/>
    <n v="477"/>
  </r>
  <r>
    <x v="28"/>
    <s v="YouTube"/>
    <n v="1182"/>
    <n v="83"/>
    <n v="140300"/>
    <n v="3.27"/>
    <n v="21079"/>
    <n v="7.8332145402708487E-3"/>
    <n v="1099"/>
  </r>
  <r>
    <x v="29"/>
    <s v="Instagram"/>
    <n v="661"/>
    <n v="94"/>
    <n v="116538"/>
    <n v="5.31"/>
    <n v="23486"/>
    <n v="4.8653658034289241E-3"/>
    <n v="567"/>
  </r>
  <r>
    <x v="29"/>
    <s v="Twitter"/>
    <n v="1360"/>
    <n v="227"/>
    <n v="176902"/>
    <n v="6.03"/>
    <n v="5960"/>
    <n v="6.4046760353189906E-3"/>
    <n v="1133"/>
  </r>
  <r>
    <x v="29"/>
    <s v="YouTube"/>
    <n v="935"/>
    <n v="85"/>
    <n v="326821"/>
    <n v="8.89"/>
    <n v="13301"/>
    <n v="2.60081206532016E-3"/>
    <n v="850"/>
  </r>
  <r>
    <x v="30"/>
    <s v="Instagram"/>
    <n v="664"/>
    <n v="251"/>
    <n v="240598"/>
    <n v="4.79"/>
    <n v="10563"/>
    <n v="1.7165562473503519E-3"/>
    <n v="413"/>
  </r>
  <r>
    <x v="30"/>
    <s v="Twitter"/>
    <n v="1490"/>
    <n v="103"/>
    <n v="373274"/>
    <n v="4.8"/>
    <n v="19949"/>
    <n v="3.7157691133055076E-3"/>
    <n v="1387"/>
  </r>
  <r>
    <x v="30"/>
    <s v="YouTube"/>
    <n v="601"/>
    <n v="64"/>
    <n v="123272"/>
    <n v="4.07"/>
    <n v="14273"/>
    <n v="4.3562203906807708E-3"/>
    <n v="537"/>
  </r>
  <r>
    <x v="31"/>
    <s v="Instagram"/>
    <n v="613"/>
    <n v="170"/>
    <n v="139266"/>
    <n v="6.06"/>
    <n v="9247"/>
    <n v="3.1809630491290049E-3"/>
    <n v="443"/>
  </r>
  <r>
    <x v="31"/>
    <s v="Twitter"/>
    <n v="1340"/>
    <n v="57"/>
    <n v="155927"/>
    <n v="7.79"/>
    <n v="11972"/>
    <n v="8.2282093543773697E-3"/>
    <n v="1283"/>
  </r>
  <r>
    <x v="31"/>
    <s v="YouTube"/>
    <n v="953"/>
    <n v="228"/>
    <n v="258398"/>
    <n v="9.0500000000000007"/>
    <n v="13314"/>
    <n v="2.8057492705051896E-3"/>
    <n v="725"/>
  </r>
  <r>
    <x v="32"/>
    <s v="Instagram"/>
    <n v="532"/>
    <n v="65"/>
    <n v="338561"/>
    <n v="3.5"/>
    <n v="14749"/>
    <n v="1.3793673813581599E-3"/>
    <n v="467"/>
  </r>
  <r>
    <x v="32"/>
    <s v="Twitter"/>
    <n v="1414"/>
    <n v="60"/>
    <n v="341856"/>
    <n v="8.76"/>
    <n v="6868"/>
    <n v="3.960732004118693E-3"/>
    <n v="1354"/>
  </r>
  <r>
    <x v="32"/>
    <s v="YouTube"/>
    <n v="685"/>
    <n v="165"/>
    <n v="175860"/>
    <n v="6.26"/>
    <n v="6027"/>
    <n v="2.9568975321278288E-3"/>
    <n v="520"/>
  </r>
  <r>
    <x v="33"/>
    <s v="Instagram"/>
    <n v="601"/>
    <n v="159"/>
    <n v="327722"/>
    <n v="3.33"/>
    <n v="25267"/>
    <n v="1.3487040845594743E-3"/>
    <n v="442"/>
  </r>
  <r>
    <x v="33"/>
    <s v="Twitter"/>
    <n v="841"/>
    <n v="295"/>
    <n v="271638"/>
    <n v="9.15"/>
    <n v="5900"/>
    <n v="2.0100280520398473E-3"/>
    <n v="546"/>
  </r>
  <r>
    <x v="33"/>
    <s v="YouTube"/>
    <n v="1105"/>
    <n v="261"/>
    <n v="333851"/>
    <n v="6.03"/>
    <n v="11181"/>
    <n v="2.5280739012313877E-3"/>
    <n v="844"/>
  </r>
  <r>
    <x v="34"/>
    <s v="Instagram"/>
    <n v="566"/>
    <n v="225"/>
    <n v="368984"/>
    <n v="9.82"/>
    <n v="9592"/>
    <n v="9.2415931314094918E-4"/>
    <n v="341"/>
  </r>
  <r>
    <x v="34"/>
    <s v="Twitter"/>
    <n v="1149"/>
    <n v="280"/>
    <n v="167310"/>
    <n v="3.7"/>
    <n v="5291"/>
    <n v="5.1939513477975013E-3"/>
    <n v="869"/>
  </r>
  <r>
    <x v="34"/>
    <s v="YouTube"/>
    <n v="819"/>
    <n v="101"/>
    <n v="194811"/>
    <n v="3.35"/>
    <n v="22244"/>
    <n v="3.685623501752981E-3"/>
    <n v="718"/>
  </r>
  <r>
    <x v="35"/>
    <s v="Instagram"/>
    <n v="795"/>
    <n v="60"/>
    <n v="314982"/>
    <n v="7.31"/>
    <n v="6824"/>
    <n v="2.3334666742861497E-3"/>
    <n v="735"/>
  </r>
  <r>
    <x v="35"/>
    <s v="Twitter"/>
    <n v="681"/>
    <n v="158"/>
    <n v="75960"/>
    <n v="3.13"/>
    <n v="24112"/>
    <n v="6.8852027382833069E-3"/>
    <n v="523"/>
  </r>
  <r>
    <x v="35"/>
    <s v="YouTube"/>
    <n v="534"/>
    <n v="112"/>
    <n v="360759"/>
    <n v="4.8899999999999997"/>
    <n v="25478"/>
    <n v="1.1697559866836308E-3"/>
    <n v="422"/>
  </r>
  <r>
    <x v="36"/>
    <s v="Instagram"/>
    <n v="1066"/>
    <n v="151"/>
    <n v="297090"/>
    <n v="8.6300000000000008"/>
    <n v="11235"/>
    <n v="3.0798747854185599E-3"/>
    <n v="915"/>
  </r>
  <r>
    <x v="36"/>
    <s v="Twitter"/>
    <n v="1270"/>
    <n v="162"/>
    <n v="92040"/>
    <n v="8.0299999999999994"/>
    <n v="6120"/>
    <n v="1.2038244241634072E-2"/>
    <n v="1108"/>
  </r>
  <r>
    <x v="36"/>
    <s v="YouTube"/>
    <n v="536"/>
    <n v="198"/>
    <n v="174610"/>
    <n v="7.85"/>
    <n v="20572"/>
    <n v="1.9357425118836263E-3"/>
    <n v="338"/>
  </r>
  <r>
    <x v="37"/>
    <s v="Instagram"/>
    <n v="819"/>
    <n v="95"/>
    <n v="177376"/>
    <n v="6.12"/>
    <n v="14975"/>
    <n v="4.0817246978170664E-3"/>
    <n v="724"/>
  </r>
  <r>
    <x v="37"/>
    <s v="Twitter"/>
    <n v="681"/>
    <n v="218"/>
    <n v="198882"/>
    <n v="7.16"/>
    <n v="22234"/>
    <n v="2.3280135960016494E-3"/>
    <n v="463"/>
  </r>
  <r>
    <x v="37"/>
    <s v="YouTube"/>
    <n v="646"/>
    <n v="290"/>
    <n v="336383"/>
    <n v="7.04"/>
    <n v="6532"/>
    <n v="1.0583174536168594E-3"/>
    <n v="356"/>
  </r>
  <r>
    <x v="38"/>
    <s v="Instagram"/>
    <n v="645"/>
    <n v="267"/>
    <n v="346890"/>
    <n v="3.71"/>
    <n v="24858"/>
    <n v="1.0896826083196401E-3"/>
    <n v="378"/>
  </r>
  <r>
    <x v="38"/>
    <s v="Twitter"/>
    <n v="886"/>
    <n v="250"/>
    <n v="168170"/>
    <n v="4.12"/>
    <n v="13883"/>
    <n v="3.7818873758696555E-3"/>
    <n v="636"/>
  </r>
  <r>
    <x v="38"/>
    <s v="YouTube"/>
    <n v="978"/>
    <n v="279"/>
    <n v="368872"/>
    <n v="6.82"/>
    <n v="18654"/>
    <n v="1.8949662755644234E-3"/>
    <n v="699"/>
  </r>
  <r>
    <x v="39"/>
    <s v="Instagram"/>
    <n v="1444"/>
    <n v="165"/>
    <n v="116436"/>
    <n v="8.2200000000000006"/>
    <n v="25234"/>
    <n v="1.0984575217286749E-2"/>
    <n v="1279"/>
  </r>
  <r>
    <x v="39"/>
    <s v="Twitter"/>
    <n v="1234"/>
    <n v="228"/>
    <n v="127502"/>
    <n v="7.71"/>
    <n v="6772"/>
    <n v="7.8900723125911749E-3"/>
    <n v="1006"/>
  </r>
  <r>
    <x v="39"/>
    <s v="YouTube"/>
    <n v="665"/>
    <n v="187"/>
    <n v="274567"/>
    <n v="7.39"/>
    <n v="22428"/>
    <n v="1.7409229805475531E-3"/>
    <n v="478"/>
  </r>
  <r>
    <x v="40"/>
    <s v="Instagram"/>
    <n v="631"/>
    <n v="86"/>
    <n v="295090"/>
    <n v="7.89"/>
    <n v="11911"/>
    <n v="1.8468941678809856E-3"/>
    <n v="545"/>
  </r>
  <r>
    <x v="40"/>
    <s v="Twitter"/>
    <n v="1159"/>
    <n v="154"/>
    <n v="194994"/>
    <n v="6.39"/>
    <n v="21900"/>
    <n v="5.1540047386073422E-3"/>
    <n v="1005"/>
  </r>
  <r>
    <x v="40"/>
    <s v="YouTube"/>
    <n v="950"/>
    <n v="185"/>
    <n v="340750"/>
    <n v="6.77"/>
    <n v="25542"/>
    <n v="2.2450476889214967E-3"/>
    <n v="765"/>
  </r>
  <r>
    <x v="41"/>
    <s v="Instagram"/>
    <n v="693"/>
    <n v="129"/>
    <n v="296031"/>
    <n v="3.41"/>
    <n v="7140"/>
    <n v="1.9052058737091724E-3"/>
    <n v="564"/>
  </r>
  <r>
    <x v="41"/>
    <s v="Twitter"/>
    <n v="576"/>
    <n v="80"/>
    <n v="345688"/>
    <n v="4.1100000000000003"/>
    <n v="20474"/>
    <n v="1.4348198375413667E-3"/>
    <n v="496"/>
  </r>
  <r>
    <x v="41"/>
    <s v="YouTube"/>
    <n v="1274"/>
    <n v="146"/>
    <n v="263488"/>
    <n v="9.58"/>
    <n v="8698"/>
    <n v="4.2810298761233904E-3"/>
    <n v="1128"/>
  </r>
  <r>
    <x v="42"/>
    <s v="Instagram"/>
    <n v="818"/>
    <n v="253"/>
    <n v="184911"/>
    <n v="3.39"/>
    <n v="10402"/>
    <n v="3.0555240088474996E-3"/>
    <n v="565"/>
  </r>
  <r>
    <x v="42"/>
    <s v="Twitter"/>
    <n v="975"/>
    <n v="162"/>
    <n v="124497"/>
    <n v="9.58"/>
    <n v="26618"/>
    <n v="6.5302778380201933E-3"/>
    <n v="813"/>
  </r>
  <r>
    <x v="42"/>
    <s v="YouTube"/>
    <n v="1398"/>
    <n v="97"/>
    <n v="397607"/>
    <n v="5.09"/>
    <n v="7975"/>
    <n v="3.2720751898231166E-3"/>
    <n v="1301"/>
  </r>
  <r>
    <x v="43"/>
    <s v="Instagram"/>
    <n v="591"/>
    <n v="155"/>
    <n v="138521"/>
    <n v="7.85"/>
    <n v="19054"/>
    <n v="3.1475371965261584E-3"/>
    <n v="436"/>
  </r>
  <r>
    <x v="43"/>
    <s v="Twitter"/>
    <n v="1232"/>
    <n v="254"/>
    <n v="107718"/>
    <n v="9.7100000000000009"/>
    <n v="13740"/>
    <n v="9.0792625187990864E-3"/>
    <n v="978"/>
  </r>
  <r>
    <x v="43"/>
    <s v="YouTube"/>
    <n v="1425"/>
    <n v="58"/>
    <n v="202234"/>
    <n v="6.67"/>
    <n v="18442"/>
    <n v="6.7594964249334932E-3"/>
    <n v="1367"/>
  </r>
  <r>
    <x v="44"/>
    <s v="Instagram"/>
    <n v="1417"/>
    <n v="80"/>
    <n v="340987"/>
    <n v="6.13"/>
    <n v="10104"/>
    <n v="3.9209705941868752E-3"/>
    <n v="1337"/>
  </r>
  <r>
    <x v="44"/>
    <s v="Twitter"/>
    <n v="1222"/>
    <n v="208"/>
    <n v="340098"/>
    <n v="7.34"/>
    <n v="21771"/>
    <n v="2.9814935695005556E-3"/>
    <n v="1014"/>
  </r>
  <r>
    <x v="44"/>
    <s v="YouTube"/>
    <n v="1071"/>
    <n v="131"/>
    <n v="254727"/>
    <n v="6.87"/>
    <n v="22191"/>
    <n v="3.6902252215116576E-3"/>
    <n v="940"/>
  </r>
  <r>
    <x v="45"/>
    <s v="Instagram"/>
    <n v="772"/>
    <n v="82"/>
    <n v="345659"/>
    <n v="3.52"/>
    <n v="27753"/>
    <n v="1.9961869935398759E-3"/>
    <n v="690"/>
  </r>
  <r>
    <x v="45"/>
    <s v="Twitter"/>
    <n v="1472"/>
    <n v="137"/>
    <n v="213950"/>
    <n v="6.96"/>
    <n v="23736"/>
    <n v="6.2397756485160086E-3"/>
    <n v="1335"/>
  </r>
  <r>
    <x v="45"/>
    <s v="YouTube"/>
    <n v="1472"/>
    <n v="281"/>
    <n v="258115"/>
    <n v="7.23"/>
    <n v="27393"/>
    <n v="4.6142223427541986E-3"/>
    <n v="1191"/>
  </r>
  <r>
    <x v="46"/>
    <s v="Instagram"/>
    <n v="585"/>
    <n v="232"/>
    <n v="321258"/>
    <n v="7.42"/>
    <n v="10343"/>
    <n v="1.0988053215795403E-3"/>
    <n v="353"/>
  </r>
  <r>
    <x v="46"/>
    <s v="Twitter"/>
    <n v="747"/>
    <n v="261"/>
    <n v="338650"/>
    <n v="7.73"/>
    <n v="25259"/>
    <n v="1.4351099955706482E-3"/>
    <n v="486"/>
  </r>
  <r>
    <x v="46"/>
    <s v="YouTube"/>
    <n v="1113"/>
    <n v="224"/>
    <n v="272989"/>
    <n v="5.13"/>
    <n v="24827"/>
    <n v="3.2565414723670183E-3"/>
    <n v="889"/>
  </r>
  <r>
    <x v="47"/>
    <s v="Instagram"/>
    <n v="1100"/>
    <n v="117"/>
    <n v="260204"/>
    <n v="4.4000000000000004"/>
    <n v="11908"/>
    <n v="3.7778051067623862E-3"/>
    <n v="983"/>
  </r>
  <r>
    <x v="47"/>
    <s v="Twitter"/>
    <n v="751"/>
    <n v="170"/>
    <n v="283278"/>
    <n v="3.49"/>
    <n v="11005"/>
    <n v="2.0509887813384732E-3"/>
    <n v="581"/>
  </r>
  <r>
    <x v="47"/>
    <s v="YouTube"/>
    <n v="864"/>
    <n v="50"/>
    <n v="277445"/>
    <n v="3.57"/>
    <n v="26333"/>
    <n v="2.9339148299662998E-3"/>
    <n v="814"/>
  </r>
  <r>
    <x v="48"/>
    <s v="Instagram"/>
    <n v="1146"/>
    <n v="227"/>
    <n v="353781"/>
    <n v="6.41"/>
    <n v="5495"/>
    <n v="2.5976522198761379E-3"/>
    <n v="919"/>
  </r>
  <r>
    <x v="48"/>
    <s v="Twitter"/>
    <n v="883"/>
    <n v="207"/>
    <n v="265019"/>
    <n v="6.04"/>
    <n v="15655"/>
    <n v="2.5507605115104954E-3"/>
    <n v="676"/>
  </r>
  <r>
    <x v="48"/>
    <s v="YouTube"/>
    <n v="622"/>
    <n v="163"/>
    <n v="231925"/>
    <n v="9.18"/>
    <n v="13763"/>
    <n v="1.9790880672631238E-3"/>
    <n v="459"/>
  </r>
  <r>
    <x v="49"/>
    <s v="Instagram"/>
    <n v="837"/>
    <n v="261"/>
    <n v="366149"/>
    <n v="6.54"/>
    <n v="26073"/>
    <n v="1.5731300645365684E-3"/>
    <n v="576"/>
  </r>
  <r>
    <x v="49"/>
    <s v="Twitter"/>
    <n v="544"/>
    <n v="97"/>
    <n v="168375"/>
    <n v="8.66"/>
    <n v="12774"/>
    <n v="2.6547884187082403E-3"/>
    <n v="447"/>
  </r>
  <r>
    <x v="49"/>
    <s v="YouTube"/>
    <n v="624"/>
    <n v="247"/>
    <n v="252763"/>
    <n v="3.89"/>
    <n v="19000"/>
    <n v="1.4915157677349929E-3"/>
    <n v="377"/>
  </r>
  <r>
    <x v="50"/>
    <s v="Instagram"/>
    <n v="1073"/>
    <n v="141"/>
    <n v="118393"/>
    <n v="7.95"/>
    <n v="14051"/>
    <n v="7.872087032172511E-3"/>
    <n v="932"/>
  </r>
  <r>
    <x v="50"/>
    <s v="Twitter"/>
    <n v="1430"/>
    <n v="74"/>
    <n v="327012"/>
    <n v="6.66"/>
    <n v="27782"/>
    <n v="4.1466368206671319E-3"/>
    <n v="1356"/>
  </r>
  <r>
    <x v="50"/>
    <s v="YouTube"/>
    <n v="1358"/>
    <n v="77"/>
    <n v="169688"/>
    <n v="5.25"/>
    <n v="7859"/>
    <n v="7.5491490264485411E-3"/>
    <n v="1281"/>
  </r>
  <r>
    <x v="51"/>
    <s v="Instagram"/>
    <n v="1242"/>
    <n v="201"/>
    <n v="271935"/>
    <n v="5.07"/>
    <n v="15773"/>
    <n v="3.8281206906062111E-3"/>
    <n v="1041"/>
  </r>
  <r>
    <x v="51"/>
    <s v="Twitter"/>
    <n v="1389"/>
    <n v="205"/>
    <n v="315981"/>
    <n v="7.62"/>
    <n v="20595"/>
    <n v="3.7470607409939207E-3"/>
    <n v="1184"/>
  </r>
  <r>
    <x v="51"/>
    <s v="YouTube"/>
    <n v="826"/>
    <n v="142"/>
    <n v="341016"/>
    <n v="7.44"/>
    <n v="12031"/>
    <n v="2.005770990217468E-3"/>
    <n v="684"/>
  </r>
  <r>
    <x v="52"/>
    <s v="Instagram"/>
    <n v="618"/>
    <n v="264"/>
    <n v="285164"/>
    <n v="4.8600000000000003"/>
    <n v="15128"/>
    <n v="1.2413909189098204E-3"/>
    <n v="354"/>
  </r>
  <r>
    <x v="52"/>
    <s v="Twitter"/>
    <n v="1419"/>
    <n v="293"/>
    <n v="116632"/>
    <n v="6.93"/>
    <n v="11826"/>
    <n v="9.6542972769051369E-3"/>
    <n v="1126"/>
  </r>
  <r>
    <x v="52"/>
    <s v="YouTube"/>
    <n v="637"/>
    <n v="68"/>
    <n v="115694"/>
    <n v="9.99"/>
    <n v="12562"/>
    <n v="4.9181461441388493E-3"/>
    <n v="569"/>
  </r>
  <r>
    <x v="53"/>
    <s v="Instagram"/>
    <n v="917"/>
    <n v="187"/>
    <n v="64444"/>
    <n v="5.22"/>
    <n v="13013"/>
    <n v="1.1327664328719508E-2"/>
    <n v="730"/>
  </r>
  <r>
    <x v="53"/>
    <s v="Twitter"/>
    <n v="810"/>
    <n v="232"/>
    <n v="362559"/>
    <n v="5.17"/>
    <n v="12937"/>
    <n v="1.5942232850377457E-3"/>
    <n v="578"/>
  </r>
  <r>
    <x v="53"/>
    <s v="YouTube"/>
    <n v="1183"/>
    <n v="248"/>
    <n v="226881"/>
    <n v="5.17"/>
    <n v="14534"/>
    <n v="4.1211031333606603E-3"/>
    <n v="935"/>
  </r>
  <r>
    <x v="54"/>
    <s v="Instagram"/>
    <n v="765"/>
    <n v="67"/>
    <n v="283537"/>
    <n v="6.18"/>
    <n v="8182"/>
    <n v="2.4617598408673293E-3"/>
    <n v="698"/>
  </r>
  <r>
    <x v="54"/>
    <s v="Twitter"/>
    <n v="540"/>
    <n v="215"/>
    <n v="62837"/>
    <n v="5.3"/>
    <n v="10615"/>
    <n v="5.1721119722456512E-3"/>
    <n v="325"/>
  </r>
  <r>
    <x v="54"/>
    <s v="YouTube"/>
    <n v="1145"/>
    <n v="151"/>
    <n v="182759"/>
    <n v="5.99"/>
    <n v="20109"/>
    <n v="5.4388566363352828E-3"/>
    <n v="994"/>
  </r>
  <r>
    <x v="55"/>
    <s v="Instagram"/>
    <n v="564"/>
    <n v="244"/>
    <n v="279405"/>
    <n v="8.43"/>
    <n v="26024"/>
    <n v="1.1452908859898713E-3"/>
    <n v="320"/>
  </r>
  <r>
    <x v="55"/>
    <s v="Twitter"/>
    <n v="668"/>
    <n v="124"/>
    <n v="257485"/>
    <n v="7.55"/>
    <n v="26730"/>
    <n v="2.1127444317144686E-3"/>
    <n v="544"/>
  </r>
  <r>
    <x v="55"/>
    <s v="YouTube"/>
    <n v="761"/>
    <n v="241"/>
    <n v="154977"/>
    <n v="5.63"/>
    <n v="10563"/>
    <n v="3.3553365983339462E-3"/>
    <n v="520"/>
  </r>
  <r>
    <x v="56"/>
    <s v="Instagram"/>
    <n v="593"/>
    <n v="108"/>
    <n v="216500"/>
    <n v="4.71"/>
    <n v="27575"/>
    <n v="2.2401847575057735E-3"/>
    <n v="485"/>
  </r>
  <r>
    <x v="56"/>
    <s v="Twitter"/>
    <n v="1349"/>
    <n v="115"/>
    <n v="102102"/>
    <n v="5.28"/>
    <n v="14479"/>
    <n v="1.208595326242385E-2"/>
    <n v="1234"/>
  </r>
  <r>
    <x v="56"/>
    <s v="YouTube"/>
    <n v="693"/>
    <n v="97"/>
    <n v="92025"/>
    <n v="5.95"/>
    <n v="15915"/>
    <n v="6.4765009508285796E-3"/>
    <n v="596"/>
  </r>
  <r>
    <x v="57"/>
    <s v="Instagram"/>
    <n v="974"/>
    <n v="143"/>
    <n v="247965"/>
    <n v="9.98"/>
    <n v="12767"/>
    <n v="3.3512794144334888E-3"/>
    <n v="831"/>
  </r>
  <r>
    <x v="57"/>
    <s v="Twitter"/>
    <n v="1155"/>
    <n v="122"/>
    <n v="387352"/>
    <n v="9.93"/>
    <n v="12170"/>
    <n v="2.6668250067122413E-3"/>
    <n v="1033"/>
  </r>
  <r>
    <x v="57"/>
    <s v="YouTube"/>
    <n v="1051"/>
    <n v="246"/>
    <n v="253985"/>
    <n v="9.08"/>
    <n v="7245"/>
    <n v="3.1694785125105812E-3"/>
    <n v="805"/>
  </r>
  <r>
    <x v="58"/>
    <s v="Instagram"/>
    <n v="1457"/>
    <n v="183"/>
    <n v="129640"/>
    <n v="7.98"/>
    <n v="12985"/>
    <n v="9.827213822894169E-3"/>
    <n v="1274"/>
  </r>
  <r>
    <x v="58"/>
    <s v="Twitter"/>
    <n v="670"/>
    <n v="242"/>
    <n v="281913"/>
    <n v="9.6199999999999992"/>
    <n v="16377"/>
    <n v="1.5181988769584942E-3"/>
    <n v="428"/>
  </r>
  <r>
    <x v="58"/>
    <s v="YouTube"/>
    <n v="1111"/>
    <n v="159"/>
    <n v="360770"/>
    <n v="8.7100000000000009"/>
    <n v="11453"/>
    <n v="2.6388003437092886E-3"/>
    <n v="952"/>
  </r>
  <r>
    <x v="59"/>
    <s v="Instagram"/>
    <n v="1197"/>
    <n v="246"/>
    <n v="127273"/>
    <n v="6.69"/>
    <n v="12323"/>
    <n v="7.4721268454424738E-3"/>
    <n v="951"/>
  </r>
  <r>
    <x v="59"/>
    <s v="Twitter"/>
    <n v="754"/>
    <n v="150"/>
    <n v="189622"/>
    <n v="4.25"/>
    <n v="11911"/>
    <n v="3.1852844079273504E-3"/>
    <n v="604"/>
  </r>
  <r>
    <x v="59"/>
    <s v="YouTube"/>
    <n v="1246"/>
    <n v="107"/>
    <n v="350949"/>
    <n v="4.9800000000000004"/>
    <n v="27809"/>
    <n v="3.2454858113287115E-3"/>
    <n v="1139"/>
  </r>
  <r>
    <x v="60"/>
    <s v="Instagram"/>
    <n v="780"/>
    <n v="213"/>
    <n v="121431"/>
    <n v="4.97"/>
    <n v="21464"/>
    <n v="4.669318378338316E-3"/>
    <n v="567"/>
  </r>
  <r>
    <x v="60"/>
    <s v="Twitter"/>
    <n v="1425"/>
    <n v="143"/>
    <n v="116742"/>
    <n v="3.71"/>
    <n v="27126"/>
    <n v="1.0981480529715098E-2"/>
    <n v="1282"/>
  </r>
  <r>
    <x v="60"/>
    <s v="YouTube"/>
    <n v="1490"/>
    <n v="103"/>
    <n v="81184"/>
    <n v="7.79"/>
    <n v="10681"/>
    <n v="1.7084647221127316E-2"/>
    <n v="1387"/>
  </r>
  <r>
    <x v="61"/>
    <s v="Instagram"/>
    <n v="949"/>
    <n v="282"/>
    <n v="87126"/>
    <n v="4.96"/>
    <n v="5413"/>
    <n v="7.6555792759910937E-3"/>
    <n v="667"/>
  </r>
  <r>
    <x v="61"/>
    <s v="Twitter"/>
    <n v="640"/>
    <n v="141"/>
    <n v="267546"/>
    <n v="8.58"/>
    <n v="25058"/>
    <n v="1.8650998332996943E-3"/>
    <n v="499"/>
  </r>
  <r>
    <x v="61"/>
    <s v="YouTube"/>
    <n v="616"/>
    <n v="93"/>
    <n v="133082"/>
    <n v="8.51"/>
    <n v="18303"/>
    <n v="3.9299078763469142E-3"/>
    <n v="523"/>
  </r>
  <r>
    <x v="62"/>
    <s v="Instagram"/>
    <n v="1080"/>
    <n v="184"/>
    <n v="340557"/>
    <n v="5.41"/>
    <n v="5526"/>
    <n v="2.6309839468870114E-3"/>
    <n v="896"/>
  </r>
  <r>
    <x v="62"/>
    <s v="Twitter"/>
    <n v="938"/>
    <n v="236"/>
    <n v="116472"/>
    <n v="8.7200000000000006"/>
    <n v="17460"/>
    <n v="6.0271996703070265E-3"/>
    <n v="702"/>
  </r>
  <r>
    <x v="62"/>
    <s v="YouTube"/>
    <n v="1007"/>
    <n v="258"/>
    <n v="113412"/>
    <n v="7.71"/>
    <n v="14475"/>
    <n v="6.6042394102916796E-3"/>
    <n v="749"/>
  </r>
  <r>
    <x v="63"/>
    <s v="Instagram"/>
    <n v="541"/>
    <n v="208"/>
    <n v="157547"/>
    <n v="8.35"/>
    <n v="20162"/>
    <n v="2.1136549728017671E-3"/>
    <n v="333"/>
  </r>
  <r>
    <x v="63"/>
    <s v="Twitter"/>
    <n v="745"/>
    <n v="98"/>
    <n v="354816"/>
    <n v="4.03"/>
    <n v="17103"/>
    <n v="1.823480339105339E-3"/>
    <n v="647"/>
  </r>
  <r>
    <x v="63"/>
    <s v="YouTube"/>
    <n v="936"/>
    <n v="97"/>
    <n v="151799"/>
    <n v="9.3699999999999992"/>
    <n v="15461"/>
    <n v="5.5270456327116777E-3"/>
    <n v="839"/>
  </r>
  <r>
    <x v="64"/>
    <s v="Instagram"/>
    <n v="1183"/>
    <n v="223"/>
    <n v="143811"/>
    <n v="6.07"/>
    <n v="22103"/>
    <n v="6.6754281661347186E-3"/>
    <n v="960"/>
  </r>
  <r>
    <x v="64"/>
    <s v="Twitter"/>
    <n v="1413"/>
    <n v="245"/>
    <n v="296450"/>
    <n v="6.52"/>
    <n v="11625"/>
    <n v="3.9399561477483558E-3"/>
    <n v="1168"/>
  </r>
  <r>
    <x v="64"/>
    <s v="YouTube"/>
    <n v="791"/>
    <n v="273"/>
    <n v="144049"/>
    <n v="3.08"/>
    <n v="5281"/>
    <n v="3.5959985838152297E-3"/>
    <n v="518"/>
  </r>
  <r>
    <x v="65"/>
    <s v="Instagram"/>
    <n v="1052"/>
    <n v="180"/>
    <n v="272534"/>
    <n v="5.34"/>
    <n v="13424"/>
    <n v="3.1996007837554212E-3"/>
    <n v="872"/>
  </r>
  <r>
    <x v="65"/>
    <s v="Twitter"/>
    <n v="572"/>
    <n v="270"/>
    <n v="82265"/>
    <n v="3.65"/>
    <n v="13140"/>
    <n v="3.6710630280192063E-3"/>
    <n v="302"/>
  </r>
  <r>
    <x v="65"/>
    <s v="YouTube"/>
    <n v="503"/>
    <n v="253"/>
    <n v="313562"/>
    <n v="4.18"/>
    <n v="19538"/>
    <n v="7.9729048800556194E-4"/>
    <n v="250"/>
  </r>
  <r>
    <x v="66"/>
    <s v="Instagram"/>
    <n v="1017"/>
    <n v="197"/>
    <n v="89918"/>
    <n v="3.91"/>
    <n v="7881"/>
    <n v="9.1194199159233963E-3"/>
    <n v="820"/>
  </r>
  <r>
    <x v="66"/>
    <s v="Twitter"/>
    <n v="860"/>
    <n v="244"/>
    <n v="348686"/>
    <n v="5.12"/>
    <n v="11418"/>
    <n v="1.7666324429429343E-3"/>
    <n v="616"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  <r>
    <x v="67"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1402"/>
    <n v="68"/>
    <n v="124562"/>
    <n v="9.92"/>
    <n v="23125"/>
    <n v="1.0709526179733787E-2"/>
    <n v="1334"/>
    <d v="2024-06-03T00:00:00"/>
    <n v="3419"/>
  </r>
  <r>
    <x v="0"/>
    <x v="1"/>
    <n v="995"/>
    <n v="86"/>
    <n v="227958"/>
    <n v="8.0500000000000007"/>
    <n v="22788"/>
    <n v="3.9875766588582107E-3"/>
    <n v="909"/>
    <d v="2024-06-10T00:00:00"/>
    <n v="2777"/>
  </r>
  <r>
    <x v="0"/>
    <x v="2"/>
    <n v="1472"/>
    <n v="296"/>
    <n v="370242"/>
    <n v="7.72"/>
    <n v="7810"/>
    <n v="3.176300905893983E-3"/>
    <n v="1176"/>
    <d v="2024-06-17T00:00:00"/>
    <n v="3175"/>
  </r>
  <r>
    <x v="1"/>
    <x v="0"/>
    <n v="1018"/>
    <n v="90"/>
    <n v="92474"/>
    <n v="9.4"/>
    <n v="11966"/>
    <n v="1.0035253152237385E-2"/>
    <n v="928"/>
    <d v="2024-06-24T00:00:00"/>
    <n v="2433"/>
  </r>
  <r>
    <x v="1"/>
    <x v="1"/>
    <n v="1461"/>
    <n v="64"/>
    <n v="328902"/>
    <n v="9.02"/>
    <n v="26298"/>
    <n v="4.247465810484582E-3"/>
    <n v="1397"/>
    <d v="2024-07-01T00:00:00"/>
    <n v="2426"/>
  </r>
  <r>
    <x v="1"/>
    <x v="2"/>
    <n v="545"/>
    <n v="93"/>
    <n v="391621"/>
    <n v="9.9600000000000009"/>
    <n v="22029"/>
    <n v="1.1541771253329111E-3"/>
    <n v="452"/>
    <d v="2024-07-08T00:00:00"/>
    <n v="3155"/>
  </r>
  <r>
    <x v="2"/>
    <x v="0"/>
    <n v="881"/>
    <n v="291"/>
    <n v="95885"/>
    <n v="5.29"/>
    <n v="12391"/>
    <n v="6.1532043593888509E-3"/>
    <n v="590"/>
    <d v="2024-07-15T00:00:00"/>
    <n v="2369"/>
  </r>
  <r>
    <x v="2"/>
    <x v="1"/>
    <n v="1414"/>
    <n v="131"/>
    <n v="245947"/>
    <n v="8.3000000000000007"/>
    <n v="14477"/>
    <n v="5.2165710498603361E-3"/>
    <n v="1283"/>
    <d v="2024-07-22T00:00:00"/>
    <n v="2281"/>
  </r>
  <r>
    <x v="2"/>
    <x v="2"/>
    <n v="1472"/>
    <n v="170"/>
    <n v="250428"/>
    <n v="4.66"/>
    <n v="25040"/>
    <n v="5.1990991422684362E-3"/>
    <n v="1302"/>
    <d v="2024-07-29T00:00:00"/>
    <n v="2132"/>
  </r>
  <r>
    <x v="3"/>
    <x v="0"/>
    <n v="809"/>
    <n v="197"/>
    <n v="87186"/>
    <n v="9.48"/>
    <n v="22619"/>
    <n v="7.0194756038813571E-3"/>
    <n v="612"/>
    <d v="2024-08-05T00:00:00"/>
    <n v="2693"/>
  </r>
  <r>
    <x v="3"/>
    <x v="1"/>
    <n v="1371"/>
    <n v="250"/>
    <n v="128620"/>
    <n v="7.11"/>
    <n v="12399"/>
    <n v="8.7155963302752298E-3"/>
    <n v="1121"/>
    <d v="2024-08-12T00:00:00"/>
    <n v="3072"/>
  </r>
  <r>
    <x v="3"/>
    <x v="2"/>
    <n v="844"/>
    <n v="144"/>
    <n v="126015"/>
    <n v="9.65"/>
    <n v="22456"/>
    <n v="5.5548942586200059E-3"/>
    <n v="700"/>
    <d v="2024-08-19T00:00:00"/>
    <n v="2300"/>
  </r>
  <r>
    <x v="4"/>
    <x v="0"/>
    <n v="786"/>
    <n v="72"/>
    <n v="178615"/>
    <n v="5.43"/>
    <n v="19328"/>
    <n v="3.9974246283906723E-3"/>
    <n v="714"/>
    <d v="2024-08-26T00:00:00"/>
    <n v="2450"/>
  </r>
  <r>
    <x v="4"/>
    <x v="1"/>
    <n v="845"/>
    <n v="250"/>
    <n v="218228"/>
    <n v="4.5199999999999996"/>
    <n v="21107"/>
    <n v="2.7265062228494967E-3"/>
    <n v="595"/>
    <d v="2024-09-02T00:00:00"/>
    <n v="2502"/>
  </r>
  <r>
    <x v="4"/>
    <x v="2"/>
    <n v="1218"/>
    <n v="101"/>
    <n v="300397"/>
    <n v="4.33"/>
    <n v="12277"/>
    <n v="3.7184126339477423E-3"/>
    <n v="1117"/>
    <d v="2024-09-09T00:00:00"/>
    <n v="2630"/>
  </r>
  <r>
    <x v="5"/>
    <x v="0"/>
    <n v="797"/>
    <n v="130"/>
    <n v="340121"/>
    <n v="8.52"/>
    <n v="11684"/>
    <n v="1.9610667968164271E-3"/>
    <n v="667"/>
    <d v="2024-09-16T00:00:00"/>
    <n v="2162"/>
  </r>
  <r>
    <x v="5"/>
    <x v="1"/>
    <n v="1471"/>
    <n v="100"/>
    <n v="76866"/>
    <n v="8.5500000000000007"/>
    <n v="14412"/>
    <n v="1.7836234485988603E-2"/>
    <n v="1371"/>
    <d v="2024-09-23T00:00:00"/>
    <n v="2785"/>
  </r>
  <r>
    <x v="5"/>
    <x v="2"/>
    <n v="1253"/>
    <n v="136"/>
    <n v="193131"/>
    <n v="7.99"/>
    <n v="15924"/>
    <n v="5.7836390843520723E-3"/>
    <n v="1117"/>
    <d v="2024-09-30T00:00:00"/>
    <n v="3151"/>
  </r>
  <r>
    <x v="6"/>
    <x v="0"/>
    <n v="616"/>
    <n v="257"/>
    <n v="169665"/>
    <n v="6.31"/>
    <n v="12390"/>
    <n v="2.1159343412017798E-3"/>
    <n v="359"/>
    <d v="2024-10-07T00:00:00"/>
    <n v="2338"/>
  </r>
  <r>
    <x v="6"/>
    <x v="1"/>
    <n v="1308"/>
    <n v="210"/>
    <n v="263729"/>
    <n v="8.5299999999999994"/>
    <n v="25742"/>
    <n v="4.1633646660018432E-3"/>
    <n v="1098"/>
    <d v="2024-10-14T00:00:00"/>
    <n v="2670"/>
  </r>
  <r>
    <x v="6"/>
    <x v="2"/>
    <n v="981"/>
    <n v="69"/>
    <n v="206921"/>
    <n v="8.42"/>
    <n v="10495"/>
    <n v="4.4074791828765565E-3"/>
    <n v="912"/>
    <d v="2024-10-21T00:00:00"/>
    <n v="2792"/>
  </r>
  <r>
    <x v="7"/>
    <x v="0"/>
    <n v="866"/>
    <n v="74"/>
    <n v="204121"/>
    <n v="9.34"/>
    <n v="7797"/>
    <n v="3.8800515380583087E-3"/>
    <n v="792"/>
    <d v="2024-10-28T00:00:00"/>
    <n v="2181"/>
  </r>
  <r>
    <x v="7"/>
    <x v="1"/>
    <n v="547"/>
    <n v="183"/>
    <n v="266350"/>
    <n v="5.65"/>
    <n v="15595"/>
    <n v="1.3666228646517741E-3"/>
    <n v="364"/>
    <d v="2024-11-04T00:00:00"/>
    <n v="3576"/>
  </r>
  <r>
    <x v="7"/>
    <x v="2"/>
    <n v="1241"/>
    <n v="116"/>
    <n v="380606"/>
    <n v="4.2"/>
    <n v="24617"/>
    <n v="2.9558125725816196E-3"/>
    <n v="1125"/>
    <d v="2024-11-11T00:00:00"/>
    <n v="2794"/>
  </r>
  <r>
    <x v="8"/>
    <x v="0"/>
    <n v="973"/>
    <n v="104"/>
    <n v="376358"/>
    <n v="3.87"/>
    <n v="9847"/>
    <n v="2.3089717768720206E-3"/>
    <n v="869"/>
    <d v="2024-11-18T00:00:00"/>
    <n v="1935"/>
  </r>
  <r>
    <x v="8"/>
    <x v="1"/>
    <n v="611"/>
    <n v="197"/>
    <n v="79423"/>
    <n v="5.82"/>
    <n v="13644"/>
    <n v="5.2125958475504573E-3"/>
    <n v="414"/>
    <d v="2024-11-25T00:00:00"/>
    <n v="2287"/>
  </r>
  <r>
    <x v="8"/>
    <x v="2"/>
    <n v="983"/>
    <n v="134"/>
    <n v="352178"/>
    <n v="3.55"/>
    <n v="11421"/>
    <n v="2.4107127645679174E-3"/>
    <n v="849"/>
    <d v="2024-12-02T00:00:00"/>
    <n v="2383"/>
  </r>
  <r>
    <x v="9"/>
    <x v="0"/>
    <n v="1449"/>
    <n v="96"/>
    <n v="200636"/>
    <n v="9.92"/>
    <n v="15613"/>
    <n v="6.7435554935305723E-3"/>
    <n v="1353"/>
    <d v="2024-12-09T00:00:00"/>
    <n v="1398"/>
  </r>
  <r>
    <x v="9"/>
    <x v="1"/>
    <n v="752"/>
    <n v="170"/>
    <n v="132756"/>
    <n v="8.17"/>
    <n v="23900"/>
    <n v="4.3839826448522105E-3"/>
    <n v="582"/>
    <d v="2024-12-16T00:00:00"/>
    <n v="2693"/>
  </r>
  <r>
    <x v="9"/>
    <x v="2"/>
    <n v="937"/>
    <n v="179"/>
    <n v="318098"/>
    <n v="5.3"/>
    <n v="5836"/>
    <n v="2.3829134417695176E-3"/>
    <n v="758"/>
    <d v="2024-12-23T00:00:00"/>
    <n v="2550"/>
  </r>
  <r>
    <x v="10"/>
    <x v="0"/>
    <n v="1060"/>
    <n v="83"/>
    <n v="68724"/>
    <n v="5.98"/>
    <n v="5624"/>
    <n v="1.4216285431581398E-2"/>
    <n v="977"/>
    <d v="2024-12-30T00:00:00"/>
    <n v="2337"/>
  </r>
  <r>
    <x v="10"/>
    <x v="1"/>
    <n v="1456"/>
    <n v="265"/>
    <n v="115505"/>
    <n v="7.49"/>
    <n v="10311"/>
    <n v="1.031124193757846E-2"/>
    <n v="1191"/>
    <d v="2025-01-06T00:00:00"/>
    <n v="2451"/>
  </r>
  <r>
    <x v="10"/>
    <x v="2"/>
    <n v="1109"/>
    <n v="205"/>
    <n v="276722"/>
    <n v="9.3800000000000008"/>
    <n v="8274"/>
    <n v="3.2668165162148292E-3"/>
    <n v="904"/>
    <d v="2025-01-13T00:00:00"/>
    <n v="2341"/>
  </r>
  <r>
    <x v="11"/>
    <x v="0"/>
    <n v="1002"/>
    <n v="93"/>
    <n v="353538"/>
    <n v="5.84"/>
    <n v="6031"/>
    <n v="2.5711521816608116E-3"/>
    <n v="909"/>
    <d v="2025-01-20T00:00:00"/>
    <n v="1832"/>
  </r>
  <r>
    <x v="11"/>
    <x v="1"/>
    <n v="571"/>
    <n v="189"/>
    <n v="61445"/>
    <n v="5.41"/>
    <n v="27829"/>
    <n v="6.2169419806330862E-3"/>
    <n v="382"/>
    <d v="2025-01-27T00:00:00"/>
    <n v="1928"/>
  </r>
  <r>
    <x v="11"/>
    <x v="2"/>
    <n v="1240"/>
    <n v="231"/>
    <n v="165035"/>
    <n v="6.05"/>
    <n v="18267"/>
    <n v="6.1138546368952043E-3"/>
    <n v="1009"/>
    <d v="2025-02-03T00:00:00"/>
    <n v="1680"/>
  </r>
  <r>
    <x v="12"/>
    <x v="0"/>
    <n v="1154"/>
    <n v="132"/>
    <n v="194595"/>
    <n v="7.54"/>
    <n v="26624"/>
    <n v="5.2519335029163131E-3"/>
    <n v="1022"/>
    <d v="2025-02-10T00:00:00"/>
    <n v="2361"/>
  </r>
  <r>
    <x v="12"/>
    <x v="1"/>
    <n v="537"/>
    <n v="275"/>
    <n v="236238"/>
    <n v="5.87"/>
    <n v="26644"/>
    <n v="1.1090510417460359E-3"/>
    <n v="262"/>
    <d v="2025-02-17T00:00:00"/>
    <n v="1543"/>
  </r>
  <r>
    <x v="12"/>
    <x v="2"/>
    <n v="1456"/>
    <n v="290"/>
    <n v="271044"/>
    <n v="7.17"/>
    <n v="13051"/>
    <n v="4.3018845648676966E-3"/>
    <n v="1166"/>
    <d v="2025-02-24T00:00:00"/>
    <n v="1713"/>
  </r>
  <r>
    <x v="13"/>
    <x v="0"/>
    <n v="721"/>
    <n v="206"/>
    <n v="334887"/>
    <n v="6.05"/>
    <n v="14217"/>
    <n v="1.5378321642822803E-3"/>
    <n v="515"/>
    <d v="2025-03-03T00:00:00"/>
    <n v="2763"/>
  </r>
  <r>
    <x v="13"/>
    <x v="1"/>
    <n v="1098"/>
    <n v="142"/>
    <n v="359150"/>
    <n v="7.51"/>
    <n v="16385"/>
    <n v="2.6618404566337186E-3"/>
    <n v="956"/>
    <d v="2025-03-10T00:00:00"/>
    <n v="2315"/>
  </r>
  <r>
    <x v="13"/>
    <x v="2"/>
    <n v="1096"/>
    <n v="65"/>
    <n v="358295"/>
    <n v="7.66"/>
    <n v="24548"/>
    <n v="2.8775171297394605E-3"/>
    <n v="1031"/>
    <d v="2025-03-17T00:00:00"/>
    <n v="2188"/>
  </r>
  <r>
    <x v="14"/>
    <x v="0"/>
    <n v="912"/>
    <n v="275"/>
    <n v="368454"/>
    <n v="6.03"/>
    <n v="9195"/>
    <n v="1.7288453918263881E-3"/>
    <n v="637"/>
    <d v="2025-03-24T00:00:00"/>
    <n v="2679"/>
  </r>
  <r>
    <x v="14"/>
    <x v="1"/>
    <n v="1430"/>
    <n v="162"/>
    <n v="269082"/>
    <n v="3.4"/>
    <n v="18071"/>
    <n v="4.7123181781018424E-3"/>
    <n v="1268"/>
    <d v="2025-03-31T00:00:00"/>
    <n v="2781"/>
  </r>
  <r>
    <x v="14"/>
    <x v="2"/>
    <n v="854"/>
    <n v="129"/>
    <n v="310903"/>
    <n v="7.83"/>
    <n v="16875"/>
    <n v="2.3319170287838973E-3"/>
    <n v="725"/>
    <d v="2025-04-07T00:00:00"/>
    <n v="3291"/>
  </r>
  <r>
    <x v="15"/>
    <x v="0"/>
    <n v="681"/>
    <n v="210"/>
    <n v="248581"/>
    <n v="8.76"/>
    <n v="9567"/>
    <n v="1.8947546272643525E-3"/>
    <n v="471"/>
    <d v="2025-04-14T00:00:00"/>
    <n v="3216"/>
  </r>
  <r>
    <x v="15"/>
    <x v="1"/>
    <n v="1373"/>
    <n v="82"/>
    <n v="371015"/>
    <n v="9.52"/>
    <n v="20306"/>
    <n v="3.4796436801746559E-3"/>
    <n v="1291"/>
    <d v="2025-04-21T00:00:00"/>
    <n v="1728"/>
  </r>
  <r>
    <x v="15"/>
    <x v="2"/>
    <n v="685"/>
    <n v="285"/>
    <n v="177452"/>
    <n v="3.36"/>
    <n v="21134"/>
    <n v="2.2541306944976669E-3"/>
    <n v="400"/>
    <d v="2025-04-28T00:00:00"/>
    <n v="2378"/>
  </r>
  <r>
    <x v="16"/>
    <x v="0"/>
    <n v="1290"/>
    <n v="177"/>
    <n v="80745"/>
    <n v="9.2200000000000006"/>
    <n v="26872"/>
    <n v="1.3784135240572171E-2"/>
    <n v="1113"/>
    <d v="2025-05-05T00:00:00"/>
    <n v="2054"/>
  </r>
  <r>
    <x v="16"/>
    <x v="1"/>
    <n v="1437"/>
    <n v="239"/>
    <n v="362441"/>
    <n v="5.57"/>
    <n v="10253"/>
    <n v="3.305365562946797E-3"/>
    <n v="1198"/>
    <d v="2025-05-12T00:00:00"/>
    <n v="1400"/>
  </r>
  <r>
    <x v="16"/>
    <x v="2"/>
    <n v="769"/>
    <n v="295"/>
    <n v="344771"/>
    <n v="8.06"/>
    <n v="23963"/>
    <n v="1.3748256088824177E-3"/>
    <n v="474"/>
    <d v="2025-05-19T00:00:00"/>
    <n v="3569"/>
  </r>
  <r>
    <x v="17"/>
    <x v="0"/>
    <n v="1416"/>
    <n v="284"/>
    <n v="374952"/>
    <n v="3.45"/>
    <n v="11335"/>
    <n v="3.0190531054641659E-3"/>
    <n v="1132"/>
    <d v="2025-05-26T00:00:00"/>
    <n v="2909"/>
  </r>
  <r>
    <x v="17"/>
    <x v="1"/>
    <n v="998"/>
    <n v="154"/>
    <n v="179781"/>
    <n v="9.58"/>
    <n v="12115"/>
    <n v="4.6946006530167259E-3"/>
    <n v="844"/>
    <d v="2025-06-02T00:00:00"/>
    <n v="2049"/>
  </r>
  <r>
    <x v="17"/>
    <x v="2"/>
    <n v="1421"/>
    <n v="246"/>
    <n v="358581"/>
    <n v="8.8800000000000008"/>
    <n v="24358"/>
    <n v="3.2768049617799048E-3"/>
    <n v="1175"/>
    <d v="2025-06-09T00:00:00"/>
    <n v="2243"/>
  </r>
  <r>
    <x v="18"/>
    <x v="0"/>
    <n v="764"/>
    <n v="205"/>
    <n v="319294"/>
    <n v="6.23"/>
    <n v="12181"/>
    <n v="1.7507375647522346E-3"/>
    <n v="559"/>
    <d v="2025-06-16T00:00:00"/>
    <n v="2017"/>
  </r>
  <r>
    <x v="18"/>
    <x v="1"/>
    <n v="678"/>
    <n v="124"/>
    <n v="192022"/>
    <n v="8.4499999999999993"/>
    <n v="17729"/>
    <n v="2.8850860838862216E-3"/>
    <n v="554"/>
    <d v="2025-06-23T00:00:00"/>
    <n v="1384"/>
  </r>
  <r>
    <x v="18"/>
    <x v="2"/>
    <n v="1328"/>
    <n v="103"/>
    <n v="151462"/>
    <n v="8.4"/>
    <n v="10881"/>
    <n v="8.0878372132944243E-3"/>
    <n v="1225"/>
    <d v="2025-06-30T00:00:00"/>
    <n v="2315"/>
  </r>
  <r>
    <x v="19"/>
    <x v="0"/>
    <n v="1161"/>
    <n v="269"/>
    <n v="188193"/>
    <n v="7.34"/>
    <n v="18576"/>
    <n v="4.7398149771776844E-3"/>
    <n v="892"/>
    <d v="2025-07-07T00:00:00"/>
    <n v="2669"/>
  </r>
  <r>
    <x v="19"/>
    <x v="1"/>
    <n v="588"/>
    <n v="52"/>
    <n v="292040"/>
    <n v="8.14"/>
    <n v="9383"/>
    <n v="1.8353650184906177E-3"/>
    <n v="536"/>
    <d v="2025-07-14T00:00:00"/>
    <n v="2654"/>
  </r>
  <r>
    <x v="19"/>
    <x v="2"/>
    <n v="1457"/>
    <n v="215"/>
    <n v="325325"/>
    <n v="9.58"/>
    <n v="14178"/>
    <n v="3.8177207407976638E-3"/>
    <n v="1242"/>
    <d v="2025-07-21T00:00:00"/>
    <n v="2694"/>
  </r>
  <r>
    <x v="20"/>
    <x v="0"/>
    <n v="1190"/>
    <n v="242"/>
    <n v="86849"/>
    <n v="8.06"/>
    <n v="21254"/>
    <n v="1.0915497012055407E-2"/>
    <n v="948"/>
    <d v="2025-07-28T00:00:00"/>
    <n v="3236"/>
  </r>
  <r>
    <x v="20"/>
    <x v="1"/>
    <n v="886"/>
    <n v="124"/>
    <n v="141161"/>
    <n v="8.19"/>
    <n v="14215"/>
    <n v="5.3980915408646862E-3"/>
    <n v="762"/>
    <d v="2025-08-04T00:00:00"/>
    <n v="1689"/>
  </r>
  <r>
    <x v="20"/>
    <x v="2"/>
    <n v="1237"/>
    <n v="155"/>
    <n v="149916"/>
    <n v="4.4800000000000004"/>
    <n v="16921"/>
    <n v="7.2173750633688196E-3"/>
    <n v="1082"/>
    <d v="2025-08-11T00:00:00"/>
    <n v="2347"/>
  </r>
  <r>
    <x v="21"/>
    <x v="0"/>
    <n v="1435"/>
    <n v="261"/>
    <n v="308533"/>
    <n v="4.5199999999999996"/>
    <n v="25130"/>
    <n v="3.8051035059458792E-3"/>
    <n v="1174"/>
    <d v="2025-08-18T00:00:00"/>
    <n v="1819"/>
  </r>
  <r>
    <x v="21"/>
    <x v="1"/>
    <n v="746"/>
    <n v="282"/>
    <n v="293894"/>
    <n v="5.42"/>
    <n v="25537"/>
    <n v="1.5788005199153436E-3"/>
    <n v="464"/>
    <d v="2025-08-25T00:00:00"/>
    <n v="2646"/>
  </r>
  <r>
    <x v="21"/>
    <x v="2"/>
    <n v="759"/>
    <n v="216"/>
    <n v="147656"/>
    <n v="4.08"/>
    <n v="24943"/>
    <n v="3.6774665438586984E-3"/>
    <n v="543"/>
    <d v="2025-09-01T00:00:00"/>
    <n v="1424"/>
  </r>
  <r>
    <x v="22"/>
    <x v="0"/>
    <n v="1437"/>
    <n v="235"/>
    <n v="326791"/>
    <n v="4.0599999999999996"/>
    <n v="14563"/>
    <n v="3.6781918718691762E-3"/>
    <n v="1202"/>
    <d v="2025-09-08T00:00:00"/>
    <n v="1436"/>
  </r>
  <r>
    <x v="22"/>
    <x v="1"/>
    <n v="1463"/>
    <n v="73"/>
    <n v="348877"/>
    <n v="9.91"/>
    <n v="26273"/>
    <n v="3.9842122008616216E-3"/>
    <n v="1390"/>
    <s v="Grand Total"/>
    <n v="161588"/>
  </r>
  <r>
    <x v="22"/>
    <x v="2"/>
    <n v="1208"/>
    <n v="224"/>
    <n v="122730"/>
    <n v="8.7200000000000006"/>
    <n v="10858"/>
    <n v="8.0175996088975802E-3"/>
    <n v="984"/>
    <m/>
    <m/>
  </r>
  <r>
    <x v="23"/>
    <x v="0"/>
    <n v="1391"/>
    <n v="187"/>
    <n v="306508"/>
    <n v="8.3800000000000008"/>
    <n v="25038"/>
    <n v="3.9281193313061976E-3"/>
    <n v="1204"/>
    <m/>
    <m/>
  </r>
  <r>
    <x v="23"/>
    <x v="1"/>
    <n v="655"/>
    <n v="123"/>
    <n v="202472"/>
    <n v="7.56"/>
    <n v="9092"/>
    <n v="2.6275238057607967E-3"/>
    <n v="532"/>
    <m/>
    <m/>
  </r>
  <r>
    <x v="23"/>
    <x v="2"/>
    <n v="1148"/>
    <n v="90"/>
    <n v="227249"/>
    <n v="7.24"/>
    <n v="17662"/>
    <n v="4.6556860536239985E-3"/>
    <n v="1058"/>
    <m/>
    <m/>
  </r>
  <r>
    <x v="24"/>
    <x v="0"/>
    <n v="946"/>
    <n v="270"/>
    <n v="246567"/>
    <n v="4.53"/>
    <n v="5924"/>
    <n v="2.741648314656868E-3"/>
    <n v="676"/>
    <m/>
    <m/>
  </r>
  <r>
    <x v="24"/>
    <x v="1"/>
    <n v="791"/>
    <n v="214"/>
    <n v="114738"/>
    <n v="6.62"/>
    <n v="25347"/>
    <n v="5.0288483327232481E-3"/>
    <n v="577"/>
    <m/>
    <m/>
  </r>
  <r>
    <x v="24"/>
    <x v="2"/>
    <n v="793"/>
    <n v="111"/>
    <n v="333500"/>
    <n v="6.36"/>
    <n v="8910"/>
    <n v="2.0449775112443779E-3"/>
    <n v="682"/>
    <m/>
    <m/>
  </r>
  <r>
    <x v="25"/>
    <x v="0"/>
    <n v="663"/>
    <n v="213"/>
    <n v="352677"/>
    <n v="9"/>
    <n v="20438"/>
    <n v="1.2759550523566889E-3"/>
    <n v="450"/>
    <m/>
    <m/>
  </r>
  <r>
    <x v="25"/>
    <x v="1"/>
    <n v="954"/>
    <n v="271"/>
    <n v="160936"/>
    <n v="8.83"/>
    <n v="8760"/>
    <n v="4.2439230501565839E-3"/>
    <n v="683"/>
    <m/>
    <m/>
  </r>
  <r>
    <x v="25"/>
    <x v="2"/>
    <n v="1313"/>
    <n v="159"/>
    <n v="197183"/>
    <n v="9.7100000000000009"/>
    <n v="6625"/>
    <n v="5.8524314976443207E-3"/>
    <n v="1154"/>
    <m/>
    <m/>
  </r>
  <r>
    <x v="26"/>
    <x v="0"/>
    <n v="895"/>
    <n v="87"/>
    <n v="171271"/>
    <n v="6.68"/>
    <n v="23329"/>
    <n v="4.7176696580273365E-3"/>
    <n v="808"/>
    <m/>
    <m/>
  </r>
  <r>
    <x v="26"/>
    <x v="1"/>
    <n v="1027"/>
    <n v="156"/>
    <n v="111293"/>
    <n v="5.51"/>
    <n v="7299"/>
    <n v="7.8261885293774095E-3"/>
    <n v="871"/>
    <m/>
    <m/>
  </r>
  <r>
    <x v="26"/>
    <x v="2"/>
    <n v="990"/>
    <n v="286"/>
    <n v="351493"/>
    <n v="7.97"/>
    <n v="14496"/>
    <n v="2.0028848369668811E-3"/>
    <n v="704"/>
    <m/>
    <m/>
  </r>
  <r>
    <x v="27"/>
    <x v="0"/>
    <n v="875"/>
    <n v="264"/>
    <n v="345631"/>
    <n v="9.18"/>
    <n v="25703"/>
    <n v="1.7677812464738406E-3"/>
    <n v="611"/>
    <m/>
    <m/>
  </r>
  <r>
    <x v="27"/>
    <x v="1"/>
    <n v="599"/>
    <n v="194"/>
    <n v="105622"/>
    <n v="6.44"/>
    <n v="15108"/>
    <n v="3.8344284334702996E-3"/>
    <n v="405"/>
    <m/>
    <m/>
  </r>
  <r>
    <x v="27"/>
    <x v="2"/>
    <n v="630"/>
    <n v="248"/>
    <n v="119054"/>
    <n v="5.0199999999999996"/>
    <n v="18867"/>
    <n v="3.2086280175382597E-3"/>
    <n v="382"/>
    <m/>
    <m/>
  </r>
  <r>
    <x v="28"/>
    <x v="0"/>
    <n v="1350"/>
    <n v="233"/>
    <n v="171670"/>
    <n v="4.53"/>
    <n v="17574"/>
    <n v="6.506669773402458E-3"/>
    <n v="1117"/>
    <m/>
    <m/>
  </r>
  <r>
    <x v="28"/>
    <x v="1"/>
    <n v="632"/>
    <n v="155"/>
    <n v="170432"/>
    <n v="9.17"/>
    <n v="12840"/>
    <n v="2.7987701840030041E-3"/>
    <n v="477"/>
    <m/>
    <m/>
  </r>
  <r>
    <x v="28"/>
    <x v="2"/>
    <n v="1182"/>
    <n v="83"/>
    <n v="140300"/>
    <n v="3.27"/>
    <n v="21079"/>
    <n v="7.8332145402708487E-3"/>
    <n v="1099"/>
    <m/>
    <m/>
  </r>
  <r>
    <x v="29"/>
    <x v="0"/>
    <n v="661"/>
    <n v="94"/>
    <n v="116538"/>
    <n v="5.31"/>
    <n v="23486"/>
    <n v="4.8653658034289241E-3"/>
    <n v="567"/>
    <m/>
    <m/>
  </r>
  <r>
    <x v="29"/>
    <x v="1"/>
    <n v="1360"/>
    <n v="227"/>
    <n v="176902"/>
    <n v="6.03"/>
    <n v="5960"/>
    <n v="6.4046760353189906E-3"/>
    <n v="1133"/>
    <m/>
    <m/>
  </r>
  <r>
    <x v="29"/>
    <x v="2"/>
    <n v="935"/>
    <n v="85"/>
    <n v="326821"/>
    <n v="8.89"/>
    <n v="13301"/>
    <n v="2.60081206532016E-3"/>
    <n v="850"/>
    <m/>
    <m/>
  </r>
  <r>
    <x v="30"/>
    <x v="0"/>
    <n v="664"/>
    <n v="251"/>
    <n v="240598"/>
    <n v="4.79"/>
    <n v="10563"/>
    <n v="1.7165562473503519E-3"/>
    <n v="413"/>
    <m/>
    <m/>
  </r>
  <r>
    <x v="30"/>
    <x v="1"/>
    <n v="1490"/>
    <n v="103"/>
    <n v="373274"/>
    <n v="4.8"/>
    <n v="19949"/>
    <n v="3.7157691133055076E-3"/>
    <n v="1387"/>
    <m/>
    <m/>
  </r>
  <r>
    <x v="30"/>
    <x v="2"/>
    <n v="601"/>
    <n v="64"/>
    <n v="123272"/>
    <n v="4.07"/>
    <n v="14273"/>
    <n v="4.3562203906807708E-3"/>
    <n v="537"/>
    <m/>
    <m/>
  </r>
  <r>
    <x v="31"/>
    <x v="0"/>
    <n v="613"/>
    <n v="170"/>
    <n v="139266"/>
    <n v="6.06"/>
    <n v="9247"/>
    <n v="3.1809630491290049E-3"/>
    <n v="443"/>
    <m/>
    <m/>
  </r>
  <r>
    <x v="31"/>
    <x v="1"/>
    <n v="1340"/>
    <n v="57"/>
    <n v="155927"/>
    <n v="7.79"/>
    <n v="11972"/>
    <n v="8.2282093543773697E-3"/>
    <n v="1283"/>
    <m/>
    <m/>
  </r>
  <r>
    <x v="31"/>
    <x v="2"/>
    <n v="953"/>
    <n v="228"/>
    <n v="258398"/>
    <n v="9.0500000000000007"/>
    <n v="13314"/>
    <n v="2.8057492705051896E-3"/>
    <n v="725"/>
    <m/>
    <m/>
  </r>
  <r>
    <x v="32"/>
    <x v="0"/>
    <n v="532"/>
    <n v="65"/>
    <n v="338561"/>
    <n v="3.5"/>
    <n v="14749"/>
    <n v="1.3793673813581599E-3"/>
    <n v="467"/>
    <m/>
    <m/>
  </r>
  <r>
    <x v="32"/>
    <x v="1"/>
    <n v="1414"/>
    <n v="60"/>
    <n v="341856"/>
    <n v="8.76"/>
    <n v="6868"/>
    <n v="3.960732004118693E-3"/>
    <n v="1354"/>
    <m/>
    <m/>
  </r>
  <r>
    <x v="32"/>
    <x v="2"/>
    <n v="685"/>
    <n v="165"/>
    <n v="175860"/>
    <n v="6.26"/>
    <n v="6027"/>
    <n v="2.9568975321278288E-3"/>
    <n v="520"/>
    <m/>
    <m/>
  </r>
  <r>
    <x v="33"/>
    <x v="0"/>
    <n v="601"/>
    <n v="159"/>
    <n v="327722"/>
    <n v="3.33"/>
    <n v="25267"/>
    <n v="1.3487040845594743E-3"/>
    <n v="442"/>
    <m/>
    <m/>
  </r>
  <r>
    <x v="33"/>
    <x v="1"/>
    <n v="841"/>
    <n v="295"/>
    <n v="271638"/>
    <n v="9.15"/>
    <n v="5900"/>
    <n v="2.0100280520398473E-3"/>
    <n v="546"/>
    <m/>
    <m/>
  </r>
  <r>
    <x v="33"/>
    <x v="2"/>
    <n v="1105"/>
    <n v="261"/>
    <n v="333851"/>
    <n v="6.03"/>
    <n v="11181"/>
    <n v="2.5280739012313877E-3"/>
    <n v="844"/>
    <m/>
    <m/>
  </r>
  <r>
    <x v="34"/>
    <x v="0"/>
    <n v="566"/>
    <n v="225"/>
    <n v="368984"/>
    <n v="9.82"/>
    <n v="9592"/>
    <n v="9.2415931314094918E-4"/>
    <n v="341"/>
    <m/>
    <m/>
  </r>
  <r>
    <x v="34"/>
    <x v="1"/>
    <n v="1149"/>
    <n v="280"/>
    <n v="167310"/>
    <n v="3.7"/>
    <n v="5291"/>
    <n v="5.1939513477975013E-3"/>
    <n v="869"/>
    <m/>
    <m/>
  </r>
  <r>
    <x v="34"/>
    <x v="2"/>
    <n v="819"/>
    <n v="101"/>
    <n v="194811"/>
    <n v="3.35"/>
    <n v="22244"/>
    <n v="3.685623501752981E-3"/>
    <n v="718"/>
    <m/>
    <m/>
  </r>
  <r>
    <x v="35"/>
    <x v="0"/>
    <n v="795"/>
    <n v="60"/>
    <n v="314982"/>
    <n v="7.31"/>
    <n v="6824"/>
    <n v="2.3334666742861497E-3"/>
    <n v="735"/>
    <m/>
    <m/>
  </r>
  <r>
    <x v="35"/>
    <x v="1"/>
    <n v="681"/>
    <n v="158"/>
    <n v="75960"/>
    <n v="3.13"/>
    <n v="24112"/>
    <n v="6.8852027382833069E-3"/>
    <n v="523"/>
    <m/>
    <m/>
  </r>
  <r>
    <x v="35"/>
    <x v="2"/>
    <n v="534"/>
    <n v="112"/>
    <n v="360759"/>
    <n v="4.8899999999999997"/>
    <n v="25478"/>
    <n v="1.1697559866836308E-3"/>
    <n v="422"/>
    <m/>
    <m/>
  </r>
  <r>
    <x v="36"/>
    <x v="0"/>
    <n v="1066"/>
    <n v="151"/>
    <n v="297090"/>
    <n v="8.6300000000000008"/>
    <n v="11235"/>
    <n v="3.0798747854185599E-3"/>
    <n v="915"/>
    <m/>
    <m/>
  </r>
  <r>
    <x v="36"/>
    <x v="1"/>
    <n v="1270"/>
    <n v="162"/>
    <n v="92040"/>
    <n v="8.0299999999999994"/>
    <n v="6120"/>
    <n v="1.2038244241634072E-2"/>
    <n v="1108"/>
    <m/>
    <m/>
  </r>
  <r>
    <x v="36"/>
    <x v="2"/>
    <n v="536"/>
    <n v="198"/>
    <n v="174610"/>
    <n v="7.85"/>
    <n v="20572"/>
    <n v="1.9357425118836263E-3"/>
    <n v="338"/>
    <m/>
    <m/>
  </r>
  <r>
    <x v="37"/>
    <x v="0"/>
    <n v="819"/>
    <n v="95"/>
    <n v="177376"/>
    <n v="6.12"/>
    <n v="14975"/>
    <n v="4.0817246978170664E-3"/>
    <n v="724"/>
    <m/>
    <m/>
  </r>
  <r>
    <x v="37"/>
    <x v="1"/>
    <n v="681"/>
    <n v="218"/>
    <n v="198882"/>
    <n v="7.16"/>
    <n v="22234"/>
    <n v="2.3280135960016494E-3"/>
    <n v="463"/>
    <m/>
    <m/>
  </r>
  <r>
    <x v="37"/>
    <x v="2"/>
    <n v="646"/>
    <n v="290"/>
    <n v="336383"/>
    <n v="7.04"/>
    <n v="6532"/>
    <n v="1.0583174536168594E-3"/>
    <n v="356"/>
    <m/>
    <m/>
  </r>
  <r>
    <x v="38"/>
    <x v="0"/>
    <n v="645"/>
    <n v="267"/>
    <n v="346890"/>
    <n v="3.71"/>
    <n v="24858"/>
    <n v="1.0896826083196401E-3"/>
    <n v="378"/>
    <m/>
    <m/>
  </r>
  <r>
    <x v="38"/>
    <x v="1"/>
    <n v="886"/>
    <n v="250"/>
    <n v="168170"/>
    <n v="4.12"/>
    <n v="13883"/>
    <n v="3.7818873758696555E-3"/>
    <n v="636"/>
    <m/>
    <m/>
  </r>
  <r>
    <x v="38"/>
    <x v="2"/>
    <n v="978"/>
    <n v="279"/>
    <n v="368872"/>
    <n v="6.82"/>
    <n v="18654"/>
    <n v="1.8949662755644234E-3"/>
    <n v="699"/>
    <m/>
    <m/>
  </r>
  <r>
    <x v="39"/>
    <x v="0"/>
    <n v="1444"/>
    <n v="165"/>
    <n v="116436"/>
    <n v="8.2200000000000006"/>
    <n v="25234"/>
    <n v="1.0984575217286749E-2"/>
    <n v="1279"/>
    <m/>
    <m/>
  </r>
  <r>
    <x v="39"/>
    <x v="1"/>
    <n v="1234"/>
    <n v="228"/>
    <n v="127502"/>
    <n v="7.71"/>
    <n v="6772"/>
    <n v="7.8900723125911749E-3"/>
    <n v="1006"/>
    <m/>
    <m/>
  </r>
  <r>
    <x v="39"/>
    <x v="2"/>
    <n v="665"/>
    <n v="187"/>
    <n v="274567"/>
    <n v="7.39"/>
    <n v="22428"/>
    <n v="1.7409229805475531E-3"/>
    <n v="478"/>
    <m/>
    <m/>
  </r>
  <r>
    <x v="40"/>
    <x v="0"/>
    <n v="631"/>
    <n v="86"/>
    <n v="295090"/>
    <n v="7.89"/>
    <n v="11911"/>
    <n v="1.8468941678809856E-3"/>
    <n v="545"/>
    <m/>
    <m/>
  </r>
  <r>
    <x v="40"/>
    <x v="1"/>
    <n v="1159"/>
    <n v="154"/>
    <n v="194994"/>
    <n v="6.39"/>
    <n v="21900"/>
    <n v="5.1540047386073422E-3"/>
    <n v="1005"/>
    <m/>
    <m/>
  </r>
  <r>
    <x v="40"/>
    <x v="2"/>
    <n v="950"/>
    <n v="185"/>
    <n v="340750"/>
    <n v="6.77"/>
    <n v="25542"/>
    <n v="2.2450476889214967E-3"/>
    <n v="765"/>
    <m/>
    <m/>
  </r>
  <r>
    <x v="41"/>
    <x v="0"/>
    <n v="693"/>
    <n v="129"/>
    <n v="296031"/>
    <n v="3.41"/>
    <n v="7140"/>
    <n v="1.9052058737091724E-3"/>
    <n v="564"/>
    <m/>
    <m/>
  </r>
  <r>
    <x v="41"/>
    <x v="1"/>
    <n v="576"/>
    <n v="80"/>
    <n v="345688"/>
    <n v="4.1100000000000003"/>
    <n v="20474"/>
    <n v="1.4348198375413667E-3"/>
    <n v="496"/>
    <m/>
    <m/>
  </r>
  <r>
    <x v="41"/>
    <x v="2"/>
    <n v="1274"/>
    <n v="146"/>
    <n v="263488"/>
    <n v="9.58"/>
    <n v="8698"/>
    <n v="4.2810298761233904E-3"/>
    <n v="1128"/>
    <m/>
    <m/>
  </r>
  <r>
    <x v="42"/>
    <x v="0"/>
    <n v="818"/>
    <n v="253"/>
    <n v="184911"/>
    <n v="3.39"/>
    <n v="10402"/>
    <n v="3.0555240088474996E-3"/>
    <n v="565"/>
    <m/>
    <m/>
  </r>
  <r>
    <x v="42"/>
    <x v="1"/>
    <n v="975"/>
    <n v="162"/>
    <n v="124497"/>
    <n v="9.58"/>
    <n v="26618"/>
    <n v="6.5302778380201933E-3"/>
    <n v="813"/>
    <m/>
    <m/>
  </r>
  <r>
    <x v="42"/>
    <x v="2"/>
    <n v="1398"/>
    <n v="97"/>
    <n v="397607"/>
    <n v="5.09"/>
    <n v="7975"/>
    <n v="3.2720751898231166E-3"/>
    <n v="1301"/>
    <m/>
    <m/>
  </r>
  <r>
    <x v="43"/>
    <x v="0"/>
    <n v="591"/>
    <n v="155"/>
    <n v="138521"/>
    <n v="7.85"/>
    <n v="19054"/>
    <n v="3.1475371965261584E-3"/>
    <n v="436"/>
    <m/>
    <m/>
  </r>
  <r>
    <x v="43"/>
    <x v="1"/>
    <n v="1232"/>
    <n v="254"/>
    <n v="107718"/>
    <n v="9.7100000000000009"/>
    <n v="13740"/>
    <n v="9.0792625187990864E-3"/>
    <n v="978"/>
    <m/>
    <m/>
  </r>
  <r>
    <x v="43"/>
    <x v="2"/>
    <n v="1425"/>
    <n v="58"/>
    <n v="202234"/>
    <n v="6.67"/>
    <n v="18442"/>
    <n v="6.7594964249334932E-3"/>
    <n v="1367"/>
    <m/>
    <m/>
  </r>
  <r>
    <x v="44"/>
    <x v="0"/>
    <n v="1417"/>
    <n v="80"/>
    <n v="340987"/>
    <n v="6.13"/>
    <n v="10104"/>
    <n v="3.9209705941868752E-3"/>
    <n v="1337"/>
    <m/>
    <m/>
  </r>
  <r>
    <x v="44"/>
    <x v="1"/>
    <n v="1222"/>
    <n v="208"/>
    <n v="340098"/>
    <n v="7.34"/>
    <n v="21771"/>
    <n v="2.9814935695005556E-3"/>
    <n v="1014"/>
    <m/>
    <m/>
  </r>
  <r>
    <x v="44"/>
    <x v="2"/>
    <n v="1071"/>
    <n v="131"/>
    <n v="254727"/>
    <n v="6.87"/>
    <n v="22191"/>
    <n v="3.6902252215116576E-3"/>
    <n v="940"/>
    <m/>
    <m/>
  </r>
  <r>
    <x v="45"/>
    <x v="0"/>
    <n v="772"/>
    <n v="82"/>
    <n v="345659"/>
    <n v="3.52"/>
    <n v="27753"/>
    <n v="1.9961869935398759E-3"/>
    <n v="690"/>
    <m/>
    <m/>
  </r>
  <r>
    <x v="45"/>
    <x v="1"/>
    <n v="1472"/>
    <n v="137"/>
    <n v="213950"/>
    <n v="6.96"/>
    <n v="23736"/>
    <n v="6.2397756485160086E-3"/>
    <n v="1335"/>
    <m/>
    <m/>
  </r>
  <r>
    <x v="45"/>
    <x v="2"/>
    <n v="1472"/>
    <n v="281"/>
    <n v="258115"/>
    <n v="7.23"/>
    <n v="27393"/>
    <n v="4.6142223427541986E-3"/>
    <n v="1191"/>
    <m/>
    <m/>
  </r>
  <r>
    <x v="46"/>
    <x v="0"/>
    <n v="585"/>
    <n v="232"/>
    <n v="321258"/>
    <n v="7.42"/>
    <n v="10343"/>
    <n v="1.0988053215795403E-3"/>
    <n v="353"/>
    <m/>
    <m/>
  </r>
  <r>
    <x v="46"/>
    <x v="1"/>
    <n v="747"/>
    <n v="261"/>
    <n v="338650"/>
    <n v="7.73"/>
    <n v="25259"/>
    <n v="1.4351099955706482E-3"/>
    <n v="486"/>
    <m/>
    <m/>
  </r>
  <r>
    <x v="46"/>
    <x v="2"/>
    <n v="1113"/>
    <n v="224"/>
    <n v="272989"/>
    <n v="5.13"/>
    <n v="24827"/>
    <n v="3.2565414723670183E-3"/>
    <n v="889"/>
    <m/>
    <m/>
  </r>
  <r>
    <x v="47"/>
    <x v="0"/>
    <n v="1100"/>
    <n v="117"/>
    <n v="260204"/>
    <n v="4.4000000000000004"/>
    <n v="11908"/>
    <n v="3.7778051067623862E-3"/>
    <n v="983"/>
    <m/>
    <m/>
  </r>
  <r>
    <x v="47"/>
    <x v="1"/>
    <n v="751"/>
    <n v="170"/>
    <n v="283278"/>
    <n v="3.49"/>
    <n v="11005"/>
    <n v="2.0509887813384732E-3"/>
    <n v="581"/>
    <m/>
    <m/>
  </r>
  <r>
    <x v="47"/>
    <x v="2"/>
    <n v="864"/>
    <n v="50"/>
    <n v="277445"/>
    <n v="3.57"/>
    <n v="26333"/>
    <n v="2.9339148299662998E-3"/>
    <n v="814"/>
    <m/>
    <m/>
  </r>
  <r>
    <x v="48"/>
    <x v="0"/>
    <n v="1146"/>
    <n v="227"/>
    <n v="353781"/>
    <n v="6.41"/>
    <n v="5495"/>
    <n v="2.5976522198761379E-3"/>
    <n v="919"/>
    <m/>
    <m/>
  </r>
  <r>
    <x v="48"/>
    <x v="1"/>
    <n v="883"/>
    <n v="207"/>
    <n v="265019"/>
    <n v="6.04"/>
    <n v="15655"/>
    <n v="2.5507605115104954E-3"/>
    <n v="676"/>
    <m/>
    <m/>
  </r>
  <r>
    <x v="48"/>
    <x v="2"/>
    <n v="622"/>
    <n v="163"/>
    <n v="231925"/>
    <n v="9.18"/>
    <n v="13763"/>
    <n v="1.9790880672631238E-3"/>
    <n v="459"/>
    <m/>
    <m/>
  </r>
  <r>
    <x v="49"/>
    <x v="0"/>
    <n v="837"/>
    <n v="261"/>
    <n v="366149"/>
    <n v="6.54"/>
    <n v="26073"/>
    <n v="1.5731300645365684E-3"/>
    <n v="576"/>
    <m/>
    <m/>
  </r>
  <r>
    <x v="49"/>
    <x v="1"/>
    <n v="544"/>
    <n v="97"/>
    <n v="168375"/>
    <n v="8.66"/>
    <n v="12774"/>
    <n v="2.6547884187082403E-3"/>
    <n v="447"/>
    <m/>
    <m/>
  </r>
  <r>
    <x v="49"/>
    <x v="2"/>
    <n v="624"/>
    <n v="247"/>
    <n v="252763"/>
    <n v="3.89"/>
    <n v="19000"/>
    <n v="1.4915157677349929E-3"/>
    <n v="377"/>
    <m/>
    <m/>
  </r>
  <r>
    <x v="50"/>
    <x v="0"/>
    <n v="1073"/>
    <n v="141"/>
    <n v="118393"/>
    <n v="7.95"/>
    <n v="14051"/>
    <n v="7.872087032172511E-3"/>
    <n v="932"/>
    <m/>
    <m/>
  </r>
  <r>
    <x v="50"/>
    <x v="1"/>
    <n v="1430"/>
    <n v="74"/>
    <n v="327012"/>
    <n v="6.66"/>
    <n v="27782"/>
    <n v="4.1466368206671319E-3"/>
    <n v="1356"/>
    <m/>
    <m/>
  </r>
  <r>
    <x v="50"/>
    <x v="2"/>
    <n v="1358"/>
    <n v="77"/>
    <n v="169688"/>
    <n v="5.25"/>
    <n v="7859"/>
    <n v="7.5491490264485411E-3"/>
    <n v="1281"/>
    <m/>
    <m/>
  </r>
  <r>
    <x v="51"/>
    <x v="0"/>
    <n v="1242"/>
    <n v="201"/>
    <n v="271935"/>
    <n v="5.07"/>
    <n v="15773"/>
    <n v="3.8281206906062111E-3"/>
    <n v="1041"/>
    <m/>
    <m/>
  </r>
  <r>
    <x v="51"/>
    <x v="1"/>
    <n v="1389"/>
    <n v="205"/>
    <n v="315981"/>
    <n v="7.62"/>
    <n v="20595"/>
    <n v="3.7470607409939207E-3"/>
    <n v="1184"/>
    <m/>
    <m/>
  </r>
  <r>
    <x v="51"/>
    <x v="2"/>
    <n v="826"/>
    <n v="142"/>
    <n v="341016"/>
    <n v="7.44"/>
    <n v="12031"/>
    <n v="2.005770990217468E-3"/>
    <n v="684"/>
    <m/>
    <m/>
  </r>
  <r>
    <x v="52"/>
    <x v="0"/>
    <n v="618"/>
    <n v="264"/>
    <n v="285164"/>
    <n v="4.8600000000000003"/>
    <n v="15128"/>
    <n v="1.2413909189098204E-3"/>
    <n v="354"/>
    <m/>
    <m/>
  </r>
  <r>
    <x v="52"/>
    <x v="1"/>
    <n v="1419"/>
    <n v="293"/>
    <n v="116632"/>
    <n v="6.93"/>
    <n v="11826"/>
    <n v="9.6542972769051369E-3"/>
    <n v="1126"/>
    <m/>
    <m/>
  </r>
  <r>
    <x v="52"/>
    <x v="2"/>
    <n v="637"/>
    <n v="68"/>
    <n v="115694"/>
    <n v="9.99"/>
    <n v="12562"/>
    <n v="4.9181461441388493E-3"/>
    <n v="569"/>
    <m/>
    <m/>
  </r>
  <r>
    <x v="53"/>
    <x v="0"/>
    <n v="917"/>
    <n v="187"/>
    <n v="64444"/>
    <n v="5.22"/>
    <n v="13013"/>
    <n v="1.1327664328719508E-2"/>
    <n v="730"/>
    <m/>
    <m/>
  </r>
  <r>
    <x v="53"/>
    <x v="1"/>
    <n v="810"/>
    <n v="232"/>
    <n v="362559"/>
    <n v="5.17"/>
    <n v="12937"/>
    <n v="1.5942232850377457E-3"/>
    <n v="578"/>
    <m/>
    <m/>
  </r>
  <r>
    <x v="53"/>
    <x v="2"/>
    <n v="1183"/>
    <n v="248"/>
    <n v="226881"/>
    <n v="5.17"/>
    <n v="14534"/>
    <n v="4.1211031333606603E-3"/>
    <n v="935"/>
    <m/>
    <m/>
  </r>
  <r>
    <x v="54"/>
    <x v="0"/>
    <n v="765"/>
    <n v="67"/>
    <n v="283537"/>
    <n v="6.18"/>
    <n v="8182"/>
    <n v="2.4617598408673293E-3"/>
    <n v="698"/>
    <m/>
    <m/>
  </r>
  <r>
    <x v="54"/>
    <x v="1"/>
    <n v="540"/>
    <n v="215"/>
    <n v="62837"/>
    <n v="5.3"/>
    <n v="10615"/>
    <n v="5.1721119722456512E-3"/>
    <n v="325"/>
    <m/>
    <m/>
  </r>
  <r>
    <x v="54"/>
    <x v="2"/>
    <n v="1145"/>
    <n v="151"/>
    <n v="182759"/>
    <n v="5.99"/>
    <n v="20109"/>
    <n v="5.4388566363352828E-3"/>
    <n v="994"/>
    <m/>
    <m/>
  </r>
  <r>
    <x v="55"/>
    <x v="0"/>
    <n v="564"/>
    <n v="244"/>
    <n v="279405"/>
    <n v="8.43"/>
    <n v="26024"/>
    <n v="1.1452908859898713E-3"/>
    <n v="320"/>
    <m/>
    <m/>
  </r>
  <r>
    <x v="55"/>
    <x v="1"/>
    <n v="668"/>
    <n v="124"/>
    <n v="257485"/>
    <n v="7.55"/>
    <n v="26730"/>
    <n v="2.1127444317144686E-3"/>
    <n v="544"/>
    <m/>
    <m/>
  </r>
  <r>
    <x v="55"/>
    <x v="2"/>
    <n v="761"/>
    <n v="241"/>
    <n v="154977"/>
    <n v="5.63"/>
    <n v="10563"/>
    <n v="3.3553365983339462E-3"/>
    <n v="520"/>
    <m/>
    <m/>
  </r>
  <r>
    <x v="56"/>
    <x v="0"/>
    <n v="593"/>
    <n v="108"/>
    <n v="216500"/>
    <n v="4.71"/>
    <n v="27575"/>
    <n v="2.2401847575057735E-3"/>
    <n v="485"/>
    <m/>
    <m/>
  </r>
  <r>
    <x v="56"/>
    <x v="1"/>
    <n v="1349"/>
    <n v="115"/>
    <n v="102102"/>
    <n v="5.28"/>
    <n v="14479"/>
    <n v="1.208595326242385E-2"/>
    <n v="1234"/>
    <m/>
    <m/>
  </r>
  <r>
    <x v="56"/>
    <x v="2"/>
    <n v="693"/>
    <n v="97"/>
    <n v="92025"/>
    <n v="5.95"/>
    <n v="15915"/>
    <n v="6.4765009508285796E-3"/>
    <n v="596"/>
    <m/>
    <m/>
  </r>
  <r>
    <x v="57"/>
    <x v="0"/>
    <n v="974"/>
    <n v="143"/>
    <n v="247965"/>
    <n v="9.98"/>
    <n v="12767"/>
    <n v="3.3512794144334888E-3"/>
    <n v="831"/>
    <m/>
    <m/>
  </r>
  <r>
    <x v="57"/>
    <x v="1"/>
    <n v="1155"/>
    <n v="122"/>
    <n v="387352"/>
    <n v="9.93"/>
    <n v="12170"/>
    <n v="2.6668250067122413E-3"/>
    <n v="1033"/>
    <m/>
    <m/>
  </r>
  <r>
    <x v="57"/>
    <x v="2"/>
    <n v="1051"/>
    <n v="246"/>
    <n v="253985"/>
    <n v="9.08"/>
    <n v="7245"/>
    <n v="3.1694785125105812E-3"/>
    <n v="805"/>
    <m/>
    <m/>
  </r>
  <r>
    <x v="58"/>
    <x v="0"/>
    <n v="1457"/>
    <n v="183"/>
    <n v="129640"/>
    <n v="7.98"/>
    <n v="12985"/>
    <n v="9.827213822894169E-3"/>
    <n v="1274"/>
    <m/>
    <m/>
  </r>
  <r>
    <x v="58"/>
    <x v="1"/>
    <n v="670"/>
    <n v="242"/>
    <n v="281913"/>
    <n v="9.6199999999999992"/>
    <n v="16377"/>
    <n v="1.5181988769584942E-3"/>
    <n v="428"/>
    <m/>
    <m/>
  </r>
  <r>
    <x v="58"/>
    <x v="2"/>
    <n v="1111"/>
    <n v="159"/>
    <n v="360770"/>
    <n v="8.7100000000000009"/>
    <n v="11453"/>
    <n v="2.6388003437092886E-3"/>
    <n v="952"/>
    <m/>
    <m/>
  </r>
  <r>
    <x v="59"/>
    <x v="0"/>
    <n v="1197"/>
    <n v="246"/>
    <n v="127273"/>
    <n v="6.69"/>
    <n v="12323"/>
    <n v="7.4721268454424738E-3"/>
    <n v="951"/>
    <m/>
    <m/>
  </r>
  <r>
    <x v="59"/>
    <x v="1"/>
    <n v="754"/>
    <n v="150"/>
    <n v="189622"/>
    <n v="4.25"/>
    <n v="11911"/>
    <n v="3.1852844079273504E-3"/>
    <n v="604"/>
    <m/>
    <m/>
  </r>
  <r>
    <x v="59"/>
    <x v="2"/>
    <n v="1246"/>
    <n v="107"/>
    <n v="350949"/>
    <n v="4.9800000000000004"/>
    <n v="27809"/>
    <n v="3.2454858113287115E-3"/>
    <n v="1139"/>
    <m/>
    <m/>
  </r>
  <r>
    <x v="60"/>
    <x v="0"/>
    <n v="780"/>
    <n v="213"/>
    <n v="121431"/>
    <n v="4.97"/>
    <n v="21464"/>
    <n v="4.669318378338316E-3"/>
    <n v="567"/>
    <m/>
    <m/>
  </r>
  <r>
    <x v="60"/>
    <x v="1"/>
    <n v="1425"/>
    <n v="143"/>
    <n v="116742"/>
    <n v="3.71"/>
    <n v="27126"/>
    <n v="1.0981480529715098E-2"/>
    <n v="1282"/>
    <m/>
    <m/>
  </r>
  <r>
    <x v="60"/>
    <x v="2"/>
    <n v="1490"/>
    <n v="103"/>
    <n v="81184"/>
    <n v="7.79"/>
    <n v="10681"/>
    <n v="1.7084647221127316E-2"/>
    <n v="1387"/>
    <m/>
    <m/>
  </r>
  <r>
    <x v="61"/>
    <x v="0"/>
    <n v="949"/>
    <n v="282"/>
    <n v="87126"/>
    <n v="4.96"/>
    <n v="5413"/>
    <n v="7.6555792759910937E-3"/>
    <n v="667"/>
    <m/>
    <m/>
  </r>
  <r>
    <x v="61"/>
    <x v="1"/>
    <n v="640"/>
    <n v="141"/>
    <n v="267546"/>
    <n v="8.58"/>
    <n v="25058"/>
    <n v="1.8650998332996943E-3"/>
    <n v="499"/>
    <m/>
    <m/>
  </r>
  <r>
    <x v="61"/>
    <x v="2"/>
    <n v="616"/>
    <n v="93"/>
    <n v="133082"/>
    <n v="8.51"/>
    <n v="18303"/>
    <n v="3.9299078763469142E-3"/>
    <n v="523"/>
    <m/>
    <m/>
  </r>
  <r>
    <x v="62"/>
    <x v="0"/>
    <n v="1080"/>
    <n v="184"/>
    <n v="340557"/>
    <n v="5.41"/>
    <n v="5526"/>
    <n v="2.6309839468870114E-3"/>
    <n v="896"/>
    <m/>
    <m/>
  </r>
  <r>
    <x v="62"/>
    <x v="1"/>
    <n v="938"/>
    <n v="236"/>
    <n v="116472"/>
    <n v="8.7200000000000006"/>
    <n v="17460"/>
    <n v="6.0271996703070265E-3"/>
    <n v="702"/>
    <m/>
    <m/>
  </r>
  <r>
    <x v="62"/>
    <x v="2"/>
    <n v="1007"/>
    <n v="258"/>
    <n v="113412"/>
    <n v="7.71"/>
    <n v="14475"/>
    <n v="6.6042394102916796E-3"/>
    <n v="749"/>
    <m/>
    <m/>
  </r>
  <r>
    <x v="63"/>
    <x v="0"/>
    <n v="541"/>
    <n v="208"/>
    <n v="157547"/>
    <n v="8.35"/>
    <n v="20162"/>
    <n v="2.1136549728017671E-3"/>
    <n v="333"/>
    <m/>
    <m/>
  </r>
  <r>
    <x v="63"/>
    <x v="1"/>
    <n v="745"/>
    <n v="98"/>
    <n v="354816"/>
    <n v="4.03"/>
    <n v="17103"/>
    <n v="1.823480339105339E-3"/>
    <n v="647"/>
    <m/>
    <m/>
  </r>
  <r>
    <x v="63"/>
    <x v="2"/>
    <n v="936"/>
    <n v="97"/>
    <n v="151799"/>
    <n v="9.3699999999999992"/>
    <n v="15461"/>
    <n v="5.5270456327116777E-3"/>
    <n v="839"/>
    <m/>
    <m/>
  </r>
  <r>
    <x v="64"/>
    <x v="0"/>
    <n v="1183"/>
    <n v="223"/>
    <n v="143811"/>
    <n v="6.07"/>
    <n v="22103"/>
    <n v="6.6754281661347186E-3"/>
    <n v="960"/>
    <m/>
    <m/>
  </r>
  <r>
    <x v="64"/>
    <x v="1"/>
    <n v="1413"/>
    <n v="245"/>
    <n v="296450"/>
    <n v="6.52"/>
    <n v="11625"/>
    <n v="3.9399561477483558E-3"/>
    <n v="1168"/>
    <m/>
    <m/>
  </r>
  <r>
    <x v="64"/>
    <x v="2"/>
    <n v="791"/>
    <n v="273"/>
    <n v="144049"/>
    <n v="3.08"/>
    <n v="5281"/>
    <n v="3.5959985838152297E-3"/>
    <n v="518"/>
    <m/>
    <m/>
  </r>
  <r>
    <x v="65"/>
    <x v="0"/>
    <n v="1052"/>
    <n v="180"/>
    <n v="272534"/>
    <n v="5.34"/>
    <n v="13424"/>
    <n v="3.1996007837554212E-3"/>
    <n v="872"/>
    <m/>
    <m/>
  </r>
  <r>
    <x v="65"/>
    <x v="1"/>
    <n v="572"/>
    <n v="270"/>
    <n v="82265"/>
    <n v="3.65"/>
    <n v="13140"/>
    <n v="3.6710630280192063E-3"/>
    <n v="302"/>
    <m/>
    <m/>
  </r>
  <r>
    <x v="65"/>
    <x v="2"/>
    <n v="503"/>
    <n v="253"/>
    <n v="313562"/>
    <n v="4.18"/>
    <n v="19538"/>
    <n v="7.9729048800556194E-4"/>
    <n v="250"/>
    <m/>
    <m/>
  </r>
  <r>
    <x v="66"/>
    <x v="0"/>
    <n v="1017"/>
    <n v="197"/>
    <n v="89918"/>
    <n v="3.91"/>
    <n v="7881"/>
    <n v="9.1194199159233963E-3"/>
    <n v="820"/>
    <m/>
    <m/>
  </r>
  <r>
    <x v="66"/>
    <x v="1"/>
    <n v="860"/>
    <n v="244"/>
    <n v="348686"/>
    <n v="5.12"/>
    <n v="11418"/>
    <n v="1.7666324429429343E-3"/>
    <n v="616"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  <r>
    <x v="67"/>
    <x v="3"/>
    <m/>
    <m/>
    <m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.0709526179733787E-2"/>
    <n v="1334"/>
    <x v="0"/>
    <n v="3419"/>
  </r>
  <r>
    <x v="0"/>
    <s v="Twitter"/>
    <n v="995"/>
    <n v="86"/>
    <n v="227958"/>
    <n v="8.0500000000000007"/>
    <n v="22788"/>
    <n v="3.9875766588582107E-3"/>
    <n v="909"/>
    <x v="1"/>
    <n v="2777"/>
  </r>
  <r>
    <x v="0"/>
    <s v="YouTube"/>
    <n v="1472"/>
    <n v="296"/>
    <n v="370242"/>
    <n v="7.72"/>
    <n v="7810"/>
    <n v="3.176300905893983E-3"/>
    <n v="1176"/>
    <x v="2"/>
    <n v="3175"/>
  </r>
  <r>
    <x v="1"/>
    <s v="Instagram"/>
    <n v="1018"/>
    <n v="90"/>
    <n v="92474"/>
    <n v="9.4"/>
    <n v="11966"/>
    <n v="1.0035253152237385E-2"/>
    <n v="928"/>
    <x v="3"/>
    <n v="2433"/>
  </r>
  <r>
    <x v="1"/>
    <s v="Twitter"/>
    <n v="1461"/>
    <n v="64"/>
    <n v="328902"/>
    <n v="9.02"/>
    <n v="26298"/>
    <n v="4.247465810484582E-3"/>
    <n v="1397"/>
    <x v="4"/>
    <n v="2426"/>
  </r>
  <r>
    <x v="1"/>
    <s v="YouTube"/>
    <n v="545"/>
    <n v="93"/>
    <n v="391621"/>
    <n v="9.9600000000000009"/>
    <n v="22029"/>
    <n v="1.1541771253329111E-3"/>
    <n v="452"/>
    <x v="5"/>
    <n v="3155"/>
  </r>
  <r>
    <x v="2"/>
    <s v="Instagram"/>
    <n v="881"/>
    <n v="291"/>
    <n v="95885"/>
    <n v="5.29"/>
    <n v="12391"/>
    <n v="6.1532043593888509E-3"/>
    <n v="590"/>
    <x v="6"/>
    <n v="2369"/>
  </r>
  <r>
    <x v="2"/>
    <s v="Twitter"/>
    <n v="1414"/>
    <n v="131"/>
    <n v="245947"/>
    <n v="8.3000000000000007"/>
    <n v="14477"/>
    <n v="5.2165710498603361E-3"/>
    <n v="1283"/>
    <x v="7"/>
    <n v="2281"/>
  </r>
  <r>
    <x v="2"/>
    <s v="YouTube"/>
    <n v="1472"/>
    <n v="170"/>
    <n v="250428"/>
    <n v="4.66"/>
    <n v="25040"/>
    <n v="5.1990991422684362E-3"/>
    <n v="1302"/>
    <x v="8"/>
    <n v="2132"/>
  </r>
  <r>
    <x v="3"/>
    <s v="Instagram"/>
    <n v="809"/>
    <n v="197"/>
    <n v="87186"/>
    <n v="9.48"/>
    <n v="22619"/>
    <n v="7.0194756038813571E-3"/>
    <n v="612"/>
    <x v="9"/>
    <n v="2693"/>
  </r>
  <r>
    <x v="3"/>
    <s v="Twitter"/>
    <n v="1371"/>
    <n v="250"/>
    <n v="128620"/>
    <n v="7.11"/>
    <n v="12399"/>
    <n v="8.7155963302752298E-3"/>
    <n v="1121"/>
    <x v="10"/>
    <n v="3072"/>
  </r>
  <r>
    <x v="3"/>
    <s v="YouTube"/>
    <n v="844"/>
    <n v="144"/>
    <n v="126015"/>
    <n v="9.65"/>
    <n v="22456"/>
    <n v="5.5548942586200059E-3"/>
    <n v="700"/>
    <x v="11"/>
    <n v="2300"/>
  </r>
  <r>
    <x v="4"/>
    <s v="Instagram"/>
    <n v="786"/>
    <n v="72"/>
    <n v="178615"/>
    <n v="5.43"/>
    <n v="19328"/>
    <n v="3.9974246283906723E-3"/>
    <n v="714"/>
    <x v="12"/>
    <n v="2450"/>
  </r>
  <r>
    <x v="4"/>
    <s v="Twitter"/>
    <n v="845"/>
    <n v="250"/>
    <n v="218228"/>
    <n v="4.5199999999999996"/>
    <n v="21107"/>
    <n v="2.7265062228494967E-3"/>
    <n v="595"/>
    <x v="13"/>
    <n v="2502"/>
  </r>
  <r>
    <x v="4"/>
    <s v="YouTube"/>
    <n v="1218"/>
    <n v="101"/>
    <n v="300397"/>
    <n v="4.33"/>
    <n v="12277"/>
    <n v="3.7184126339477423E-3"/>
    <n v="1117"/>
    <x v="14"/>
    <n v="2630"/>
  </r>
  <r>
    <x v="5"/>
    <s v="Instagram"/>
    <n v="797"/>
    <n v="130"/>
    <n v="340121"/>
    <n v="8.52"/>
    <n v="11684"/>
    <n v="1.9610667968164271E-3"/>
    <n v="667"/>
    <x v="15"/>
    <n v="2162"/>
  </r>
  <r>
    <x v="5"/>
    <s v="Twitter"/>
    <n v="1471"/>
    <n v="100"/>
    <n v="76866"/>
    <n v="8.5500000000000007"/>
    <n v="14412"/>
    <n v="1.7836234485988603E-2"/>
    <n v="1371"/>
    <x v="16"/>
    <n v="2785"/>
  </r>
  <r>
    <x v="5"/>
    <s v="YouTube"/>
    <n v="1253"/>
    <n v="136"/>
    <n v="193131"/>
    <n v="7.99"/>
    <n v="15924"/>
    <n v="5.7836390843520723E-3"/>
    <n v="1117"/>
    <x v="17"/>
    <n v="3151"/>
  </r>
  <r>
    <x v="6"/>
    <s v="Instagram"/>
    <n v="616"/>
    <n v="257"/>
    <n v="169665"/>
    <n v="6.31"/>
    <n v="12390"/>
    <n v="2.1159343412017798E-3"/>
    <n v="359"/>
    <x v="18"/>
    <n v="2338"/>
  </r>
  <r>
    <x v="6"/>
    <s v="Twitter"/>
    <n v="1308"/>
    <n v="210"/>
    <n v="263729"/>
    <n v="8.5299999999999994"/>
    <n v="25742"/>
    <n v="4.1633646660018432E-3"/>
    <n v="1098"/>
    <x v="19"/>
    <n v="2670"/>
  </r>
  <r>
    <x v="6"/>
    <s v="YouTube"/>
    <n v="981"/>
    <n v="69"/>
    <n v="206921"/>
    <n v="8.42"/>
    <n v="10495"/>
    <n v="4.4074791828765565E-3"/>
    <n v="912"/>
    <x v="20"/>
    <n v="2792"/>
  </r>
  <r>
    <x v="7"/>
    <s v="Instagram"/>
    <n v="866"/>
    <n v="74"/>
    <n v="204121"/>
    <n v="9.34"/>
    <n v="7797"/>
    <n v="3.8800515380583087E-3"/>
    <n v="792"/>
    <x v="21"/>
    <n v="2181"/>
  </r>
  <r>
    <x v="7"/>
    <s v="Twitter"/>
    <n v="547"/>
    <n v="183"/>
    <n v="266350"/>
    <n v="5.65"/>
    <n v="15595"/>
    <n v="1.3666228646517741E-3"/>
    <n v="364"/>
    <x v="22"/>
    <n v="3576"/>
  </r>
  <r>
    <x v="7"/>
    <s v="YouTube"/>
    <n v="1241"/>
    <n v="116"/>
    <n v="380606"/>
    <n v="4.2"/>
    <n v="24617"/>
    <n v="2.9558125725816196E-3"/>
    <n v="1125"/>
    <x v="23"/>
    <n v="2794"/>
  </r>
  <r>
    <x v="8"/>
    <s v="Instagram"/>
    <n v="973"/>
    <n v="104"/>
    <n v="376358"/>
    <n v="3.87"/>
    <n v="9847"/>
    <n v="2.3089717768720206E-3"/>
    <n v="869"/>
    <x v="24"/>
    <n v="1935"/>
  </r>
  <r>
    <x v="8"/>
    <s v="Twitter"/>
    <n v="611"/>
    <n v="197"/>
    <n v="79423"/>
    <n v="5.82"/>
    <n v="13644"/>
    <n v="5.2125958475504573E-3"/>
    <n v="414"/>
    <x v="25"/>
    <n v="2287"/>
  </r>
  <r>
    <x v="8"/>
    <s v="YouTube"/>
    <n v="983"/>
    <n v="134"/>
    <n v="352178"/>
    <n v="3.55"/>
    <n v="11421"/>
    <n v="2.4107127645679174E-3"/>
    <n v="849"/>
    <x v="26"/>
    <n v="2383"/>
  </r>
  <r>
    <x v="9"/>
    <s v="Instagram"/>
    <n v="1449"/>
    <n v="96"/>
    <n v="200636"/>
    <n v="9.92"/>
    <n v="15613"/>
    <n v="6.7435554935305723E-3"/>
    <n v="1353"/>
    <x v="27"/>
    <n v="1398"/>
  </r>
  <r>
    <x v="9"/>
    <s v="Twitter"/>
    <n v="752"/>
    <n v="170"/>
    <n v="132756"/>
    <n v="8.17"/>
    <n v="23900"/>
    <n v="4.3839826448522105E-3"/>
    <n v="582"/>
    <x v="28"/>
    <n v="2693"/>
  </r>
  <r>
    <x v="9"/>
    <s v="YouTube"/>
    <n v="937"/>
    <n v="179"/>
    <n v="318098"/>
    <n v="5.3"/>
    <n v="5836"/>
    <n v="2.3829134417695176E-3"/>
    <n v="758"/>
    <x v="29"/>
    <n v="2550"/>
  </r>
  <r>
    <x v="10"/>
    <s v="Instagram"/>
    <n v="1060"/>
    <n v="83"/>
    <n v="68724"/>
    <n v="5.98"/>
    <n v="5624"/>
    <n v="1.4216285431581398E-2"/>
    <n v="977"/>
    <x v="30"/>
    <n v="2337"/>
  </r>
  <r>
    <x v="10"/>
    <s v="Twitter"/>
    <n v="1456"/>
    <n v="265"/>
    <n v="115505"/>
    <n v="7.49"/>
    <n v="10311"/>
    <n v="1.031124193757846E-2"/>
    <n v="1191"/>
    <x v="31"/>
    <n v="2451"/>
  </r>
  <r>
    <x v="10"/>
    <s v="YouTube"/>
    <n v="1109"/>
    <n v="205"/>
    <n v="276722"/>
    <n v="9.3800000000000008"/>
    <n v="8274"/>
    <n v="3.2668165162148292E-3"/>
    <n v="904"/>
    <x v="32"/>
    <n v="2341"/>
  </r>
  <r>
    <x v="11"/>
    <s v="Instagram"/>
    <n v="1002"/>
    <n v="93"/>
    <n v="353538"/>
    <n v="5.84"/>
    <n v="6031"/>
    <n v="2.5711521816608116E-3"/>
    <n v="909"/>
    <x v="33"/>
    <n v="1832"/>
  </r>
  <r>
    <x v="11"/>
    <s v="Twitter"/>
    <n v="571"/>
    <n v="189"/>
    <n v="61445"/>
    <n v="5.41"/>
    <n v="27829"/>
    <n v="6.2169419806330862E-3"/>
    <n v="382"/>
    <x v="34"/>
    <n v="1928"/>
  </r>
  <r>
    <x v="11"/>
    <s v="YouTube"/>
    <n v="1240"/>
    <n v="231"/>
    <n v="165035"/>
    <n v="6.05"/>
    <n v="18267"/>
    <n v="6.1138546368952043E-3"/>
    <n v="1009"/>
    <x v="35"/>
    <n v="1680"/>
  </r>
  <r>
    <x v="12"/>
    <s v="Instagram"/>
    <n v="1154"/>
    <n v="132"/>
    <n v="194595"/>
    <n v="7.54"/>
    <n v="26624"/>
    <n v="5.2519335029163131E-3"/>
    <n v="1022"/>
    <x v="36"/>
    <n v="2361"/>
  </r>
  <r>
    <x v="12"/>
    <s v="Twitter"/>
    <n v="537"/>
    <n v="275"/>
    <n v="236238"/>
    <n v="5.87"/>
    <n v="26644"/>
    <n v="1.1090510417460359E-3"/>
    <n v="262"/>
    <x v="37"/>
    <n v="1543"/>
  </r>
  <r>
    <x v="12"/>
    <s v="YouTube"/>
    <n v="1456"/>
    <n v="290"/>
    <n v="271044"/>
    <n v="7.17"/>
    <n v="13051"/>
    <n v="4.3018845648676966E-3"/>
    <n v="1166"/>
    <x v="38"/>
    <n v="1713"/>
  </r>
  <r>
    <x v="13"/>
    <s v="Instagram"/>
    <n v="721"/>
    <n v="206"/>
    <n v="334887"/>
    <n v="6.05"/>
    <n v="14217"/>
    <n v="1.5378321642822803E-3"/>
    <n v="515"/>
    <x v="39"/>
    <n v="2763"/>
  </r>
  <r>
    <x v="13"/>
    <s v="Twitter"/>
    <n v="1098"/>
    <n v="142"/>
    <n v="359150"/>
    <n v="7.51"/>
    <n v="16385"/>
    <n v="2.6618404566337186E-3"/>
    <n v="956"/>
    <x v="40"/>
    <n v="2315"/>
  </r>
  <r>
    <x v="13"/>
    <s v="YouTube"/>
    <n v="1096"/>
    <n v="65"/>
    <n v="358295"/>
    <n v="7.66"/>
    <n v="24548"/>
    <n v="2.8775171297394605E-3"/>
    <n v="1031"/>
    <x v="41"/>
    <n v="2188"/>
  </r>
  <r>
    <x v="14"/>
    <s v="Instagram"/>
    <n v="912"/>
    <n v="275"/>
    <n v="368454"/>
    <n v="6.03"/>
    <n v="9195"/>
    <n v="1.7288453918263881E-3"/>
    <n v="637"/>
    <x v="42"/>
    <n v="2679"/>
  </r>
  <r>
    <x v="14"/>
    <s v="Twitter"/>
    <n v="1430"/>
    <n v="162"/>
    <n v="269082"/>
    <n v="3.4"/>
    <n v="18071"/>
    <n v="4.7123181781018424E-3"/>
    <n v="1268"/>
    <x v="43"/>
    <n v="2781"/>
  </r>
  <r>
    <x v="14"/>
    <s v="YouTube"/>
    <n v="854"/>
    <n v="129"/>
    <n v="310903"/>
    <n v="7.83"/>
    <n v="16875"/>
    <n v="2.3319170287838973E-3"/>
    <n v="725"/>
    <x v="44"/>
    <n v="3291"/>
  </r>
  <r>
    <x v="15"/>
    <s v="Instagram"/>
    <n v="681"/>
    <n v="210"/>
    <n v="248581"/>
    <n v="8.76"/>
    <n v="9567"/>
    <n v="1.8947546272643525E-3"/>
    <n v="471"/>
    <x v="45"/>
    <n v="3216"/>
  </r>
  <r>
    <x v="15"/>
    <s v="Twitter"/>
    <n v="1373"/>
    <n v="82"/>
    <n v="371015"/>
    <n v="9.52"/>
    <n v="20306"/>
    <n v="3.4796436801746559E-3"/>
    <n v="1291"/>
    <x v="46"/>
    <n v="1728"/>
  </r>
  <r>
    <x v="15"/>
    <s v="YouTube"/>
    <n v="685"/>
    <n v="285"/>
    <n v="177452"/>
    <n v="3.36"/>
    <n v="21134"/>
    <n v="2.2541306944976669E-3"/>
    <n v="400"/>
    <x v="47"/>
    <n v="2378"/>
  </r>
  <r>
    <x v="16"/>
    <s v="Instagram"/>
    <n v="1290"/>
    <n v="177"/>
    <n v="80745"/>
    <n v="9.2200000000000006"/>
    <n v="26872"/>
    <n v="1.3784135240572171E-2"/>
    <n v="1113"/>
    <x v="48"/>
    <n v="2054"/>
  </r>
  <r>
    <x v="16"/>
    <s v="Twitter"/>
    <n v="1437"/>
    <n v="239"/>
    <n v="362441"/>
    <n v="5.57"/>
    <n v="10253"/>
    <n v="3.305365562946797E-3"/>
    <n v="1198"/>
    <x v="49"/>
    <n v="1400"/>
  </r>
  <r>
    <x v="16"/>
    <s v="YouTube"/>
    <n v="769"/>
    <n v="295"/>
    <n v="344771"/>
    <n v="8.06"/>
    <n v="23963"/>
    <n v="1.3748256088824177E-3"/>
    <n v="474"/>
    <x v="50"/>
    <n v="3569"/>
  </r>
  <r>
    <x v="17"/>
    <s v="Instagram"/>
    <n v="1416"/>
    <n v="284"/>
    <n v="374952"/>
    <n v="3.45"/>
    <n v="11335"/>
    <n v="3.0190531054641659E-3"/>
    <n v="1132"/>
    <x v="51"/>
    <n v="2909"/>
  </r>
  <r>
    <x v="17"/>
    <s v="Twitter"/>
    <n v="998"/>
    <n v="154"/>
    <n v="179781"/>
    <n v="9.58"/>
    <n v="12115"/>
    <n v="4.6946006530167259E-3"/>
    <n v="844"/>
    <x v="52"/>
    <n v="2049"/>
  </r>
  <r>
    <x v="17"/>
    <s v="YouTube"/>
    <n v="1421"/>
    <n v="246"/>
    <n v="358581"/>
    <n v="8.8800000000000008"/>
    <n v="24358"/>
    <n v="3.2768049617799048E-3"/>
    <n v="1175"/>
    <x v="53"/>
    <n v="2243"/>
  </r>
  <r>
    <x v="18"/>
    <s v="Instagram"/>
    <n v="764"/>
    <n v="205"/>
    <n v="319294"/>
    <n v="6.23"/>
    <n v="12181"/>
    <n v="1.7507375647522346E-3"/>
    <n v="559"/>
    <x v="54"/>
    <n v="2017"/>
  </r>
  <r>
    <x v="18"/>
    <s v="Twitter"/>
    <n v="678"/>
    <n v="124"/>
    <n v="192022"/>
    <n v="8.4499999999999993"/>
    <n v="17729"/>
    <n v="2.8850860838862216E-3"/>
    <n v="554"/>
    <x v="55"/>
    <n v="1384"/>
  </r>
  <r>
    <x v="18"/>
    <s v="YouTube"/>
    <n v="1328"/>
    <n v="103"/>
    <n v="151462"/>
    <n v="8.4"/>
    <n v="10881"/>
    <n v="8.0878372132944243E-3"/>
    <n v="1225"/>
    <x v="56"/>
    <n v="2315"/>
  </r>
  <r>
    <x v="19"/>
    <s v="Instagram"/>
    <n v="1161"/>
    <n v="269"/>
    <n v="188193"/>
    <n v="7.34"/>
    <n v="18576"/>
    <n v="4.7398149771776844E-3"/>
    <n v="892"/>
    <x v="57"/>
    <n v="2669"/>
  </r>
  <r>
    <x v="19"/>
    <s v="Twitter"/>
    <n v="588"/>
    <n v="52"/>
    <n v="292040"/>
    <n v="8.14"/>
    <n v="9383"/>
    <n v="1.8353650184906177E-3"/>
    <n v="536"/>
    <x v="58"/>
    <n v="2654"/>
  </r>
  <r>
    <x v="19"/>
    <s v="YouTube"/>
    <n v="1457"/>
    <n v="215"/>
    <n v="325325"/>
    <n v="9.58"/>
    <n v="14178"/>
    <n v="3.8177207407976638E-3"/>
    <n v="1242"/>
    <x v="59"/>
    <n v="2694"/>
  </r>
  <r>
    <x v="20"/>
    <s v="Instagram"/>
    <n v="1190"/>
    <n v="242"/>
    <n v="86849"/>
    <n v="8.06"/>
    <n v="21254"/>
    <n v="1.0915497012055407E-2"/>
    <n v="948"/>
    <x v="60"/>
    <n v="3236"/>
  </r>
  <r>
    <x v="20"/>
    <s v="Twitter"/>
    <n v="886"/>
    <n v="124"/>
    <n v="141161"/>
    <n v="8.19"/>
    <n v="14215"/>
    <n v="5.3980915408646862E-3"/>
    <n v="762"/>
    <x v="61"/>
    <n v="1689"/>
  </r>
  <r>
    <x v="20"/>
    <s v="YouTube"/>
    <n v="1237"/>
    <n v="155"/>
    <n v="149916"/>
    <n v="4.4800000000000004"/>
    <n v="16921"/>
    <n v="7.2173750633688196E-3"/>
    <n v="1082"/>
    <x v="62"/>
    <n v="2347"/>
  </r>
  <r>
    <x v="21"/>
    <s v="Instagram"/>
    <n v="1435"/>
    <n v="261"/>
    <n v="308533"/>
    <n v="4.5199999999999996"/>
    <n v="25130"/>
    <n v="3.8051035059458792E-3"/>
    <n v="1174"/>
    <x v="63"/>
    <n v="1819"/>
  </r>
  <r>
    <x v="21"/>
    <s v="Twitter"/>
    <n v="746"/>
    <n v="282"/>
    <n v="293894"/>
    <n v="5.42"/>
    <n v="25537"/>
    <n v="1.5788005199153436E-3"/>
    <n v="464"/>
    <x v="64"/>
    <n v="2646"/>
  </r>
  <r>
    <x v="21"/>
    <s v="YouTube"/>
    <n v="759"/>
    <n v="216"/>
    <n v="147656"/>
    <n v="4.08"/>
    <n v="24943"/>
    <n v="3.6774665438586984E-3"/>
    <n v="543"/>
    <x v="65"/>
    <n v="1424"/>
  </r>
  <r>
    <x v="22"/>
    <s v="Instagram"/>
    <n v="1437"/>
    <n v="235"/>
    <n v="326791"/>
    <n v="4.0599999999999996"/>
    <n v="14563"/>
    <n v="3.6781918718691762E-3"/>
    <n v="1202"/>
    <x v="66"/>
    <n v="1436"/>
  </r>
  <r>
    <x v="22"/>
    <s v="Twitter"/>
    <n v="1463"/>
    <n v="73"/>
    <n v="348877"/>
    <n v="9.91"/>
    <n v="26273"/>
    <n v="3.9842122008616216E-3"/>
    <n v="1390"/>
    <x v="67"/>
    <n v="161588"/>
  </r>
  <r>
    <x v="22"/>
    <s v="YouTube"/>
    <n v="1208"/>
    <n v="224"/>
    <n v="122730"/>
    <n v="8.7200000000000006"/>
    <n v="10858"/>
    <n v="8.0175996088975802E-3"/>
    <n v="984"/>
    <x v="68"/>
    <m/>
  </r>
  <r>
    <x v="23"/>
    <s v="Instagram"/>
    <n v="1391"/>
    <n v="187"/>
    <n v="306508"/>
    <n v="8.3800000000000008"/>
    <n v="25038"/>
    <n v="3.9281193313061976E-3"/>
    <n v="1204"/>
    <x v="68"/>
    <m/>
  </r>
  <r>
    <x v="23"/>
    <s v="Twitter"/>
    <n v="655"/>
    <n v="123"/>
    <n v="202472"/>
    <n v="7.56"/>
    <n v="9092"/>
    <n v="2.6275238057607967E-3"/>
    <n v="532"/>
    <x v="68"/>
    <m/>
  </r>
  <r>
    <x v="23"/>
    <s v="YouTube"/>
    <n v="1148"/>
    <n v="90"/>
    <n v="227249"/>
    <n v="7.24"/>
    <n v="17662"/>
    <n v="4.6556860536239985E-3"/>
    <n v="1058"/>
    <x v="68"/>
    <m/>
  </r>
  <r>
    <x v="24"/>
    <s v="Instagram"/>
    <n v="946"/>
    <n v="270"/>
    <n v="246567"/>
    <n v="4.53"/>
    <n v="5924"/>
    <n v="2.741648314656868E-3"/>
    <n v="676"/>
    <x v="68"/>
    <m/>
  </r>
  <r>
    <x v="24"/>
    <s v="Twitter"/>
    <n v="791"/>
    <n v="214"/>
    <n v="114738"/>
    <n v="6.62"/>
    <n v="25347"/>
    <n v="5.0288483327232481E-3"/>
    <n v="577"/>
    <x v="68"/>
    <m/>
  </r>
  <r>
    <x v="24"/>
    <s v="YouTube"/>
    <n v="793"/>
    <n v="111"/>
    <n v="333500"/>
    <n v="6.36"/>
    <n v="8910"/>
    <n v="2.0449775112443779E-3"/>
    <n v="682"/>
    <x v="68"/>
    <m/>
  </r>
  <r>
    <x v="25"/>
    <s v="Instagram"/>
    <n v="663"/>
    <n v="213"/>
    <n v="352677"/>
    <n v="9"/>
    <n v="20438"/>
    <n v="1.2759550523566889E-3"/>
    <n v="450"/>
    <x v="68"/>
    <m/>
  </r>
  <r>
    <x v="25"/>
    <s v="Twitter"/>
    <n v="954"/>
    <n v="271"/>
    <n v="160936"/>
    <n v="8.83"/>
    <n v="8760"/>
    <n v="4.2439230501565839E-3"/>
    <n v="683"/>
    <x v="68"/>
    <m/>
  </r>
  <r>
    <x v="25"/>
    <s v="YouTube"/>
    <n v="1313"/>
    <n v="159"/>
    <n v="197183"/>
    <n v="9.7100000000000009"/>
    <n v="6625"/>
    <n v="5.8524314976443207E-3"/>
    <n v="1154"/>
    <x v="68"/>
    <m/>
  </r>
  <r>
    <x v="26"/>
    <s v="Instagram"/>
    <n v="895"/>
    <n v="87"/>
    <n v="171271"/>
    <n v="6.68"/>
    <n v="23329"/>
    <n v="4.7176696580273365E-3"/>
    <n v="808"/>
    <x v="68"/>
    <m/>
  </r>
  <r>
    <x v="26"/>
    <s v="Twitter"/>
    <n v="1027"/>
    <n v="156"/>
    <n v="111293"/>
    <n v="5.51"/>
    <n v="7299"/>
    <n v="7.8261885293774095E-3"/>
    <n v="871"/>
    <x v="68"/>
    <m/>
  </r>
  <r>
    <x v="26"/>
    <s v="YouTube"/>
    <n v="990"/>
    <n v="286"/>
    <n v="351493"/>
    <n v="7.97"/>
    <n v="14496"/>
    <n v="2.0028848369668811E-3"/>
    <n v="704"/>
    <x v="68"/>
    <m/>
  </r>
  <r>
    <x v="27"/>
    <s v="Instagram"/>
    <n v="875"/>
    <n v="264"/>
    <n v="345631"/>
    <n v="9.18"/>
    <n v="25703"/>
    <n v="1.7677812464738406E-3"/>
    <n v="611"/>
    <x v="68"/>
    <m/>
  </r>
  <r>
    <x v="27"/>
    <s v="Twitter"/>
    <n v="599"/>
    <n v="194"/>
    <n v="105622"/>
    <n v="6.44"/>
    <n v="15108"/>
    <n v="3.8344284334702996E-3"/>
    <n v="405"/>
    <x v="68"/>
    <m/>
  </r>
  <r>
    <x v="27"/>
    <s v="YouTube"/>
    <n v="630"/>
    <n v="248"/>
    <n v="119054"/>
    <n v="5.0199999999999996"/>
    <n v="18867"/>
    <n v="3.2086280175382597E-3"/>
    <n v="382"/>
    <x v="68"/>
    <m/>
  </r>
  <r>
    <x v="28"/>
    <s v="Instagram"/>
    <n v="1350"/>
    <n v="233"/>
    <n v="171670"/>
    <n v="4.53"/>
    <n v="17574"/>
    <n v="6.506669773402458E-3"/>
    <n v="1117"/>
    <x v="68"/>
    <m/>
  </r>
  <r>
    <x v="28"/>
    <s v="Twitter"/>
    <n v="632"/>
    <n v="155"/>
    <n v="170432"/>
    <n v="9.17"/>
    <n v="12840"/>
    <n v="2.7987701840030041E-3"/>
    <n v="477"/>
    <x v="68"/>
    <m/>
  </r>
  <r>
    <x v="28"/>
    <s v="YouTube"/>
    <n v="1182"/>
    <n v="83"/>
    <n v="140300"/>
    <n v="3.27"/>
    <n v="21079"/>
    <n v="7.8332145402708487E-3"/>
    <n v="1099"/>
    <x v="68"/>
    <m/>
  </r>
  <r>
    <x v="29"/>
    <s v="Instagram"/>
    <n v="661"/>
    <n v="94"/>
    <n v="116538"/>
    <n v="5.31"/>
    <n v="23486"/>
    <n v="4.8653658034289241E-3"/>
    <n v="567"/>
    <x v="68"/>
    <m/>
  </r>
  <r>
    <x v="29"/>
    <s v="Twitter"/>
    <n v="1360"/>
    <n v="227"/>
    <n v="176902"/>
    <n v="6.03"/>
    <n v="5960"/>
    <n v="6.4046760353189906E-3"/>
    <n v="1133"/>
    <x v="68"/>
    <m/>
  </r>
  <r>
    <x v="29"/>
    <s v="YouTube"/>
    <n v="935"/>
    <n v="85"/>
    <n v="326821"/>
    <n v="8.89"/>
    <n v="13301"/>
    <n v="2.60081206532016E-3"/>
    <n v="850"/>
    <x v="68"/>
    <m/>
  </r>
  <r>
    <x v="30"/>
    <s v="Instagram"/>
    <n v="664"/>
    <n v="251"/>
    <n v="240598"/>
    <n v="4.79"/>
    <n v="10563"/>
    <n v="1.7165562473503519E-3"/>
    <n v="413"/>
    <x v="68"/>
    <m/>
  </r>
  <r>
    <x v="30"/>
    <s v="Twitter"/>
    <n v="1490"/>
    <n v="103"/>
    <n v="373274"/>
    <n v="4.8"/>
    <n v="19949"/>
    <n v="3.7157691133055076E-3"/>
    <n v="1387"/>
    <x v="68"/>
    <m/>
  </r>
  <r>
    <x v="30"/>
    <s v="YouTube"/>
    <n v="601"/>
    <n v="64"/>
    <n v="123272"/>
    <n v="4.07"/>
    <n v="14273"/>
    <n v="4.3562203906807708E-3"/>
    <n v="537"/>
    <x v="68"/>
    <m/>
  </r>
  <r>
    <x v="31"/>
    <s v="Instagram"/>
    <n v="613"/>
    <n v="170"/>
    <n v="139266"/>
    <n v="6.06"/>
    <n v="9247"/>
    <n v="3.1809630491290049E-3"/>
    <n v="443"/>
    <x v="68"/>
    <m/>
  </r>
  <r>
    <x v="31"/>
    <s v="Twitter"/>
    <n v="1340"/>
    <n v="57"/>
    <n v="155927"/>
    <n v="7.79"/>
    <n v="11972"/>
    <n v="8.2282093543773697E-3"/>
    <n v="1283"/>
    <x v="68"/>
    <m/>
  </r>
  <r>
    <x v="31"/>
    <s v="YouTube"/>
    <n v="953"/>
    <n v="228"/>
    <n v="258398"/>
    <n v="9.0500000000000007"/>
    <n v="13314"/>
    <n v="2.8057492705051896E-3"/>
    <n v="725"/>
    <x v="68"/>
    <m/>
  </r>
  <r>
    <x v="32"/>
    <s v="Instagram"/>
    <n v="532"/>
    <n v="65"/>
    <n v="338561"/>
    <n v="3.5"/>
    <n v="14749"/>
    <n v="1.3793673813581599E-3"/>
    <n v="467"/>
    <x v="68"/>
    <m/>
  </r>
  <r>
    <x v="32"/>
    <s v="Twitter"/>
    <n v="1414"/>
    <n v="60"/>
    <n v="341856"/>
    <n v="8.76"/>
    <n v="6868"/>
    <n v="3.960732004118693E-3"/>
    <n v="1354"/>
    <x v="68"/>
    <m/>
  </r>
  <r>
    <x v="32"/>
    <s v="YouTube"/>
    <n v="685"/>
    <n v="165"/>
    <n v="175860"/>
    <n v="6.26"/>
    <n v="6027"/>
    <n v="2.9568975321278288E-3"/>
    <n v="520"/>
    <x v="68"/>
    <m/>
  </r>
  <r>
    <x v="33"/>
    <s v="Instagram"/>
    <n v="601"/>
    <n v="159"/>
    <n v="327722"/>
    <n v="3.33"/>
    <n v="25267"/>
    <n v="1.3487040845594743E-3"/>
    <n v="442"/>
    <x v="68"/>
    <m/>
  </r>
  <r>
    <x v="33"/>
    <s v="Twitter"/>
    <n v="841"/>
    <n v="295"/>
    <n v="271638"/>
    <n v="9.15"/>
    <n v="5900"/>
    <n v="2.0100280520398473E-3"/>
    <n v="546"/>
    <x v="68"/>
    <m/>
  </r>
  <r>
    <x v="33"/>
    <s v="YouTube"/>
    <n v="1105"/>
    <n v="261"/>
    <n v="333851"/>
    <n v="6.03"/>
    <n v="11181"/>
    <n v="2.5280739012313877E-3"/>
    <n v="844"/>
    <x v="68"/>
    <m/>
  </r>
  <r>
    <x v="34"/>
    <s v="Instagram"/>
    <n v="566"/>
    <n v="225"/>
    <n v="368984"/>
    <n v="9.82"/>
    <n v="9592"/>
    <n v="9.2415931314094918E-4"/>
    <n v="341"/>
    <x v="68"/>
    <m/>
  </r>
  <r>
    <x v="34"/>
    <s v="Twitter"/>
    <n v="1149"/>
    <n v="280"/>
    <n v="167310"/>
    <n v="3.7"/>
    <n v="5291"/>
    <n v="5.1939513477975013E-3"/>
    <n v="869"/>
    <x v="68"/>
    <m/>
  </r>
  <r>
    <x v="34"/>
    <s v="YouTube"/>
    <n v="819"/>
    <n v="101"/>
    <n v="194811"/>
    <n v="3.35"/>
    <n v="22244"/>
    <n v="3.685623501752981E-3"/>
    <n v="718"/>
    <x v="68"/>
    <m/>
  </r>
  <r>
    <x v="35"/>
    <s v="Instagram"/>
    <n v="795"/>
    <n v="60"/>
    <n v="314982"/>
    <n v="7.31"/>
    <n v="6824"/>
    <n v="2.3334666742861497E-3"/>
    <n v="735"/>
    <x v="68"/>
    <m/>
  </r>
  <r>
    <x v="35"/>
    <s v="Twitter"/>
    <n v="681"/>
    <n v="158"/>
    <n v="75960"/>
    <n v="3.13"/>
    <n v="24112"/>
    <n v="6.8852027382833069E-3"/>
    <n v="523"/>
    <x v="68"/>
    <m/>
  </r>
  <r>
    <x v="35"/>
    <s v="YouTube"/>
    <n v="534"/>
    <n v="112"/>
    <n v="360759"/>
    <n v="4.8899999999999997"/>
    <n v="25478"/>
    <n v="1.1697559866836308E-3"/>
    <n v="422"/>
    <x v="68"/>
    <m/>
  </r>
  <r>
    <x v="36"/>
    <s v="Instagram"/>
    <n v="1066"/>
    <n v="151"/>
    <n v="297090"/>
    <n v="8.6300000000000008"/>
    <n v="11235"/>
    <n v="3.0798747854185599E-3"/>
    <n v="915"/>
    <x v="68"/>
    <m/>
  </r>
  <r>
    <x v="36"/>
    <s v="Twitter"/>
    <n v="1270"/>
    <n v="162"/>
    <n v="92040"/>
    <n v="8.0299999999999994"/>
    <n v="6120"/>
    <n v="1.2038244241634072E-2"/>
    <n v="1108"/>
    <x v="68"/>
    <m/>
  </r>
  <r>
    <x v="36"/>
    <s v="YouTube"/>
    <n v="536"/>
    <n v="198"/>
    <n v="174610"/>
    <n v="7.85"/>
    <n v="20572"/>
    <n v="1.9357425118836263E-3"/>
    <n v="338"/>
    <x v="68"/>
    <m/>
  </r>
  <r>
    <x v="37"/>
    <s v="Instagram"/>
    <n v="819"/>
    <n v="95"/>
    <n v="177376"/>
    <n v="6.12"/>
    <n v="14975"/>
    <n v="4.0817246978170664E-3"/>
    <n v="724"/>
    <x v="68"/>
    <m/>
  </r>
  <r>
    <x v="37"/>
    <s v="Twitter"/>
    <n v="681"/>
    <n v="218"/>
    <n v="198882"/>
    <n v="7.16"/>
    <n v="22234"/>
    <n v="2.3280135960016494E-3"/>
    <n v="463"/>
    <x v="68"/>
    <m/>
  </r>
  <r>
    <x v="37"/>
    <s v="YouTube"/>
    <n v="646"/>
    <n v="290"/>
    <n v="336383"/>
    <n v="7.04"/>
    <n v="6532"/>
    <n v="1.0583174536168594E-3"/>
    <n v="356"/>
    <x v="68"/>
    <m/>
  </r>
  <r>
    <x v="38"/>
    <s v="Instagram"/>
    <n v="645"/>
    <n v="267"/>
    <n v="346890"/>
    <n v="3.71"/>
    <n v="24858"/>
    <n v="1.0896826083196401E-3"/>
    <n v="378"/>
    <x v="68"/>
    <m/>
  </r>
  <r>
    <x v="38"/>
    <s v="Twitter"/>
    <n v="886"/>
    <n v="250"/>
    <n v="168170"/>
    <n v="4.12"/>
    <n v="13883"/>
    <n v="3.7818873758696555E-3"/>
    <n v="636"/>
    <x v="68"/>
    <m/>
  </r>
  <r>
    <x v="38"/>
    <s v="YouTube"/>
    <n v="978"/>
    <n v="279"/>
    <n v="368872"/>
    <n v="6.82"/>
    <n v="18654"/>
    <n v="1.8949662755644234E-3"/>
    <n v="699"/>
    <x v="68"/>
    <m/>
  </r>
  <r>
    <x v="39"/>
    <s v="Instagram"/>
    <n v="1444"/>
    <n v="165"/>
    <n v="116436"/>
    <n v="8.2200000000000006"/>
    <n v="25234"/>
    <n v="1.0984575217286749E-2"/>
    <n v="1279"/>
    <x v="68"/>
    <m/>
  </r>
  <r>
    <x v="39"/>
    <s v="Twitter"/>
    <n v="1234"/>
    <n v="228"/>
    <n v="127502"/>
    <n v="7.71"/>
    <n v="6772"/>
    <n v="7.8900723125911749E-3"/>
    <n v="1006"/>
    <x v="68"/>
    <m/>
  </r>
  <r>
    <x v="39"/>
    <s v="YouTube"/>
    <n v="665"/>
    <n v="187"/>
    <n v="274567"/>
    <n v="7.39"/>
    <n v="22428"/>
    <n v="1.7409229805475531E-3"/>
    <n v="478"/>
    <x v="68"/>
    <m/>
  </r>
  <r>
    <x v="40"/>
    <s v="Instagram"/>
    <n v="631"/>
    <n v="86"/>
    <n v="295090"/>
    <n v="7.89"/>
    <n v="11911"/>
    <n v="1.8468941678809856E-3"/>
    <n v="545"/>
    <x v="68"/>
    <m/>
  </r>
  <r>
    <x v="40"/>
    <s v="Twitter"/>
    <n v="1159"/>
    <n v="154"/>
    <n v="194994"/>
    <n v="6.39"/>
    <n v="21900"/>
    <n v="5.1540047386073422E-3"/>
    <n v="1005"/>
    <x v="68"/>
    <m/>
  </r>
  <r>
    <x v="40"/>
    <s v="YouTube"/>
    <n v="950"/>
    <n v="185"/>
    <n v="340750"/>
    <n v="6.77"/>
    <n v="25542"/>
    <n v="2.2450476889214967E-3"/>
    <n v="765"/>
    <x v="68"/>
    <m/>
  </r>
  <r>
    <x v="41"/>
    <s v="Instagram"/>
    <n v="693"/>
    <n v="129"/>
    <n v="296031"/>
    <n v="3.41"/>
    <n v="7140"/>
    <n v="1.9052058737091724E-3"/>
    <n v="564"/>
    <x v="68"/>
    <m/>
  </r>
  <r>
    <x v="41"/>
    <s v="Twitter"/>
    <n v="576"/>
    <n v="80"/>
    <n v="345688"/>
    <n v="4.1100000000000003"/>
    <n v="20474"/>
    <n v="1.4348198375413667E-3"/>
    <n v="496"/>
    <x v="68"/>
    <m/>
  </r>
  <r>
    <x v="41"/>
    <s v="YouTube"/>
    <n v="1274"/>
    <n v="146"/>
    <n v="263488"/>
    <n v="9.58"/>
    <n v="8698"/>
    <n v="4.2810298761233904E-3"/>
    <n v="1128"/>
    <x v="68"/>
    <m/>
  </r>
  <r>
    <x v="42"/>
    <s v="Instagram"/>
    <n v="818"/>
    <n v="253"/>
    <n v="184911"/>
    <n v="3.39"/>
    <n v="10402"/>
    <n v="3.0555240088474996E-3"/>
    <n v="565"/>
    <x v="68"/>
    <m/>
  </r>
  <r>
    <x v="42"/>
    <s v="Twitter"/>
    <n v="975"/>
    <n v="162"/>
    <n v="124497"/>
    <n v="9.58"/>
    <n v="26618"/>
    <n v="6.5302778380201933E-3"/>
    <n v="813"/>
    <x v="68"/>
    <m/>
  </r>
  <r>
    <x v="42"/>
    <s v="YouTube"/>
    <n v="1398"/>
    <n v="97"/>
    <n v="397607"/>
    <n v="5.09"/>
    <n v="7975"/>
    <n v="3.2720751898231166E-3"/>
    <n v="1301"/>
    <x v="68"/>
    <m/>
  </r>
  <r>
    <x v="43"/>
    <s v="Instagram"/>
    <n v="591"/>
    <n v="155"/>
    <n v="138521"/>
    <n v="7.85"/>
    <n v="19054"/>
    <n v="3.1475371965261584E-3"/>
    <n v="436"/>
    <x v="68"/>
    <m/>
  </r>
  <r>
    <x v="43"/>
    <s v="Twitter"/>
    <n v="1232"/>
    <n v="254"/>
    <n v="107718"/>
    <n v="9.7100000000000009"/>
    <n v="13740"/>
    <n v="9.0792625187990864E-3"/>
    <n v="978"/>
    <x v="68"/>
    <m/>
  </r>
  <r>
    <x v="43"/>
    <s v="YouTube"/>
    <n v="1425"/>
    <n v="58"/>
    <n v="202234"/>
    <n v="6.67"/>
    <n v="18442"/>
    <n v="6.7594964249334932E-3"/>
    <n v="1367"/>
    <x v="68"/>
    <m/>
  </r>
  <r>
    <x v="44"/>
    <s v="Instagram"/>
    <n v="1417"/>
    <n v="80"/>
    <n v="340987"/>
    <n v="6.13"/>
    <n v="10104"/>
    <n v="3.9209705941868752E-3"/>
    <n v="1337"/>
    <x v="68"/>
    <m/>
  </r>
  <r>
    <x v="44"/>
    <s v="Twitter"/>
    <n v="1222"/>
    <n v="208"/>
    <n v="340098"/>
    <n v="7.34"/>
    <n v="21771"/>
    <n v="2.9814935695005556E-3"/>
    <n v="1014"/>
    <x v="68"/>
    <m/>
  </r>
  <r>
    <x v="44"/>
    <s v="YouTube"/>
    <n v="1071"/>
    <n v="131"/>
    <n v="254727"/>
    <n v="6.87"/>
    <n v="22191"/>
    <n v="3.6902252215116576E-3"/>
    <n v="940"/>
    <x v="68"/>
    <m/>
  </r>
  <r>
    <x v="45"/>
    <s v="Instagram"/>
    <n v="772"/>
    <n v="82"/>
    <n v="345659"/>
    <n v="3.52"/>
    <n v="27753"/>
    <n v="1.9961869935398759E-3"/>
    <n v="690"/>
    <x v="68"/>
    <m/>
  </r>
  <r>
    <x v="45"/>
    <s v="Twitter"/>
    <n v="1472"/>
    <n v="137"/>
    <n v="213950"/>
    <n v="6.96"/>
    <n v="23736"/>
    <n v="6.2397756485160086E-3"/>
    <n v="1335"/>
    <x v="68"/>
    <m/>
  </r>
  <r>
    <x v="45"/>
    <s v="YouTube"/>
    <n v="1472"/>
    <n v="281"/>
    <n v="258115"/>
    <n v="7.23"/>
    <n v="27393"/>
    <n v="4.6142223427541986E-3"/>
    <n v="1191"/>
    <x v="68"/>
    <m/>
  </r>
  <r>
    <x v="46"/>
    <s v="Instagram"/>
    <n v="585"/>
    <n v="232"/>
    <n v="321258"/>
    <n v="7.42"/>
    <n v="10343"/>
    <n v="1.0988053215795403E-3"/>
    <n v="353"/>
    <x v="68"/>
    <m/>
  </r>
  <r>
    <x v="46"/>
    <s v="Twitter"/>
    <n v="747"/>
    <n v="261"/>
    <n v="338650"/>
    <n v="7.73"/>
    <n v="25259"/>
    <n v="1.4351099955706482E-3"/>
    <n v="486"/>
    <x v="68"/>
    <m/>
  </r>
  <r>
    <x v="46"/>
    <s v="YouTube"/>
    <n v="1113"/>
    <n v="224"/>
    <n v="272989"/>
    <n v="5.13"/>
    <n v="24827"/>
    <n v="3.2565414723670183E-3"/>
    <n v="889"/>
    <x v="68"/>
    <m/>
  </r>
  <r>
    <x v="47"/>
    <s v="Instagram"/>
    <n v="1100"/>
    <n v="117"/>
    <n v="260204"/>
    <n v="4.4000000000000004"/>
    <n v="11908"/>
    <n v="3.7778051067623862E-3"/>
    <n v="983"/>
    <x v="68"/>
    <m/>
  </r>
  <r>
    <x v="47"/>
    <s v="Twitter"/>
    <n v="751"/>
    <n v="170"/>
    <n v="283278"/>
    <n v="3.49"/>
    <n v="11005"/>
    <n v="2.0509887813384732E-3"/>
    <n v="581"/>
    <x v="68"/>
    <m/>
  </r>
  <r>
    <x v="47"/>
    <s v="YouTube"/>
    <n v="864"/>
    <n v="50"/>
    <n v="277445"/>
    <n v="3.57"/>
    <n v="26333"/>
    <n v="2.9339148299662998E-3"/>
    <n v="814"/>
    <x v="68"/>
    <m/>
  </r>
  <r>
    <x v="48"/>
    <s v="Instagram"/>
    <n v="1146"/>
    <n v="227"/>
    <n v="353781"/>
    <n v="6.41"/>
    <n v="5495"/>
    <n v="2.5976522198761379E-3"/>
    <n v="919"/>
    <x v="68"/>
    <m/>
  </r>
  <r>
    <x v="48"/>
    <s v="Twitter"/>
    <n v="883"/>
    <n v="207"/>
    <n v="265019"/>
    <n v="6.04"/>
    <n v="15655"/>
    <n v="2.5507605115104954E-3"/>
    <n v="676"/>
    <x v="68"/>
    <m/>
  </r>
  <r>
    <x v="48"/>
    <s v="YouTube"/>
    <n v="622"/>
    <n v="163"/>
    <n v="231925"/>
    <n v="9.18"/>
    <n v="13763"/>
    <n v="1.9790880672631238E-3"/>
    <n v="459"/>
    <x v="68"/>
    <m/>
  </r>
  <r>
    <x v="49"/>
    <s v="Instagram"/>
    <n v="837"/>
    <n v="261"/>
    <n v="366149"/>
    <n v="6.54"/>
    <n v="26073"/>
    <n v="1.5731300645365684E-3"/>
    <n v="576"/>
    <x v="68"/>
    <m/>
  </r>
  <r>
    <x v="49"/>
    <s v="Twitter"/>
    <n v="544"/>
    <n v="97"/>
    <n v="168375"/>
    <n v="8.66"/>
    <n v="12774"/>
    <n v="2.6547884187082403E-3"/>
    <n v="447"/>
    <x v="68"/>
    <m/>
  </r>
  <r>
    <x v="49"/>
    <s v="YouTube"/>
    <n v="624"/>
    <n v="247"/>
    <n v="252763"/>
    <n v="3.89"/>
    <n v="19000"/>
    <n v="1.4915157677349929E-3"/>
    <n v="377"/>
    <x v="68"/>
    <m/>
  </r>
  <r>
    <x v="50"/>
    <s v="Instagram"/>
    <n v="1073"/>
    <n v="141"/>
    <n v="118393"/>
    <n v="7.95"/>
    <n v="14051"/>
    <n v="7.872087032172511E-3"/>
    <n v="932"/>
    <x v="68"/>
    <m/>
  </r>
  <r>
    <x v="50"/>
    <s v="Twitter"/>
    <n v="1430"/>
    <n v="74"/>
    <n v="327012"/>
    <n v="6.66"/>
    <n v="27782"/>
    <n v="4.1466368206671319E-3"/>
    <n v="1356"/>
    <x v="68"/>
    <m/>
  </r>
  <r>
    <x v="50"/>
    <s v="YouTube"/>
    <n v="1358"/>
    <n v="77"/>
    <n v="169688"/>
    <n v="5.25"/>
    <n v="7859"/>
    <n v="7.5491490264485411E-3"/>
    <n v="1281"/>
    <x v="68"/>
    <m/>
  </r>
  <r>
    <x v="51"/>
    <s v="Instagram"/>
    <n v="1242"/>
    <n v="201"/>
    <n v="271935"/>
    <n v="5.07"/>
    <n v="15773"/>
    <n v="3.8281206906062111E-3"/>
    <n v="1041"/>
    <x v="68"/>
    <m/>
  </r>
  <r>
    <x v="51"/>
    <s v="Twitter"/>
    <n v="1389"/>
    <n v="205"/>
    <n v="315981"/>
    <n v="7.62"/>
    <n v="20595"/>
    <n v="3.7470607409939207E-3"/>
    <n v="1184"/>
    <x v="68"/>
    <m/>
  </r>
  <r>
    <x v="51"/>
    <s v="YouTube"/>
    <n v="826"/>
    <n v="142"/>
    <n v="341016"/>
    <n v="7.44"/>
    <n v="12031"/>
    <n v="2.005770990217468E-3"/>
    <n v="684"/>
    <x v="68"/>
    <m/>
  </r>
  <r>
    <x v="52"/>
    <s v="Instagram"/>
    <n v="618"/>
    <n v="264"/>
    <n v="285164"/>
    <n v="4.8600000000000003"/>
    <n v="15128"/>
    <n v="1.2413909189098204E-3"/>
    <n v="354"/>
    <x v="68"/>
    <m/>
  </r>
  <r>
    <x v="52"/>
    <s v="Twitter"/>
    <n v="1419"/>
    <n v="293"/>
    <n v="116632"/>
    <n v="6.93"/>
    <n v="11826"/>
    <n v="9.6542972769051369E-3"/>
    <n v="1126"/>
    <x v="68"/>
    <m/>
  </r>
  <r>
    <x v="52"/>
    <s v="YouTube"/>
    <n v="637"/>
    <n v="68"/>
    <n v="115694"/>
    <n v="9.99"/>
    <n v="12562"/>
    <n v="4.9181461441388493E-3"/>
    <n v="569"/>
    <x v="68"/>
    <m/>
  </r>
  <r>
    <x v="53"/>
    <s v="Instagram"/>
    <n v="917"/>
    <n v="187"/>
    <n v="64444"/>
    <n v="5.22"/>
    <n v="13013"/>
    <n v="1.1327664328719508E-2"/>
    <n v="730"/>
    <x v="68"/>
    <m/>
  </r>
  <r>
    <x v="53"/>
    <s v="Twitter"/>
    <n v="810"/>
    <n v="232"/>
    <n v="362559"/>
    <n v="5.17"/>
    <n v="12937"/>
    <n v="1.5942232850377457E-3"/>
    <n v="578"/>
    <x v="68"/>
    <m/>
  </r>
  <r>
    <x v="53"/>
    <s v="YouTube"/>
    <n v="1183"/>
    <n v="248"/>
    <n v="226881"/>
    <n v="5.17"/>
    <n v="14534"/>
    <n v="4.1211031333606603E-3"/>
    <n v="935"/>
    <x v="68"/>
    <m/>
  </r>
  <r>
    <x v="54"/>
    <s v="Instagram"/>
    <n v="765"/>
    <n v="67"/>
    <n v="283537"/>
    <n v="6.18"/>
    <n v="8182"/>
    <n v="2.4617598408673293E-3"/>
    <n v="698"/>
    <x v="68"/>
    <m/>
  </r>
  <r>
    <x v="54"/>
    <s v="Twitter"/>
    <n v="540"/>
    <n v="215"/>
    <n v="62837"/>
    <n v="5.3"/>
    <n v="10615"/>
    <n v="5.1721119722456512E-3"/>
    <n v="325"/>
    <x v="68"/>
    <m/>
  </r>
  <r>
    <x v="54"/>
    <s v="YouTube"/>
    <n v="1145"/>
    <n v="151"/>
    <n v="182759"/>
    <n v="5.99"/>
    <n v="20109"/>
    <n v="5.4388566363352828E-3"/>
    <n v="994"/>
    <x v="68"/>
    <m/>
  </r>
  <r>
    <x v="55"/>
    <s v="Instagram"/>
    <n v="564"/>
    <n v="244"/>
    <n v="279405"/>
    <n v="8.43"/>
    <n v="26024"/>
    <n v="1.1452908859898713E-3"/>
    <n v="320"/>
    <x v="68"/>
    <m/>
  </r>
  <r>
    <x v="55"/>
    <s v="Twitter"/>
    <n v="668"/>
    <n v="124"/>
    <n v="257485"/>
    <n v="7.55"/>
    <n v="26730"/>
    <n v="2.1127444317144686E-3"/>
    <n v="544"/>
    <x v="68"/>
    <m/>
  </r>
  <r>
    <x v="55"/>
    <s v="YouTube"/>
    <n v="761"/>
    <n v="241"/>
    <n v="154977"/>
    <n v="5.63"/>
    <n v="10563"/>
    <n v="3.3553365983339462E-3"/>
    <n v="520"/>
    <x v="68"/>
    <m/>
  </r>
  <r>
    <x v="56"/>
    <s v="Instagram"/>
    <n v="593"/>
    <n v="108"/>
    <n v="216500"/>
    <n v="4.71"/>
    <n v="27575"/>
    <n v="2.2401847575057735E-3"/>
    <n v="485"/>
    <x v="68"/>
    <m/>
  </r>
  <r>
    <x v="56"/>
    <s v="Twitter"/>
    <n v="1349"/>
    <n v="115"/>
    <n v="102102"/>
    <n v="5.28"/>
    <n v="14479"/>
    <n v="1.208595326242385E-2"/>
    <n v="1234"/>
    <x v="68"/>
    <m/>
  </r>
  <r>
    <x v="56"/>
    <s v="YouTube"/>
    <n v="693"/>
    <n v="97"/>
    <n v="92025"/>
    <n v="5.95"/>
    <n v="15915"/>
    <n v="6.4765009508285796E-3"/>
    <n v="596"/>
    <x v="68"/>
    <m/>
  </r>
  <r>
    <x v="57"/>
    <s v="Instagram"/>
    <n v="974"/>
    <n v="143"/>
    <n v="247965"/>
    <n v="9.98"/>
    <n v="12767"/>
    <n v="3.3512794144334888E-3"/>
    <n v="831"/>
    <x v="68"/>
    <m/>
  </r>
  <r>
    <x v="57"/>
    <s v="Twitter"/>
    <n v="1155"/>
    <n v="122"/>
    <n v="387352"/>
    <n v="9.93"/>
    <n v="12170"/>
    <n v="2.6668250067122413E-3"/>
    <n v="1033"/>
    <x v="68"/>
    <m/>
  </r>
  <r>
    <x v="57"/>
    <s v="YouTube"/>
    <n v="1051"/>
    <n v="246"/>
    <n v="253985"/>
    <n v="9.08"/>
    <n v="7245"/>
    <n v="3.1694785125105812E-3"/>
    <n v="805"/>
    <x v="68"/>
    <m/>
  </r>
  <r>
    <x v="58"/>
    <s v="Instagram"/>
    <n v="1457"/>
    <n v="183"/>
    <n v="129640"/>
    <n v="7.98"/>
    <n v="12985"/>
    <n v="9.827213822894169E-3"/>
    <n v="1274"/>
    <x v="68"/>
    <m/>
  </r>
  <r>
    <x v="58"/>
    <s v="Twitter"/>
    <n v="670"/>
    <n v="242"/>
    <n v="281913"/>
    <n v="9.6199999999999992"/>
    <n v="16377"/>
    <n v="1.5181988769584942E-3"/>
    <n v="428"/>
    <x v="68"/>
    <m/>
  </r>
  <r>
    <x v="58"/>
    <s v="YouTube"/>
    <n v="1111"/>
    <n v="159"/>
    <n v="360770"/>
    <n v="8.7100000000000009"/>
    <n v="11453"/>
    <n v="2.6388003437092886E-3"/>
    <n v="952"/>
    <x v="68"/>
    <m/>
  </r>
  <r>
    <x v="59"/>
    <s v="Instagram"/>
    <n v="1197"/>
    <n v="246"/>
    <n v="127273"/>
    <n v="6.69"/>
    <n v="12323"/>
    <n v="7.4721268454424738E-3"/>
    <n v="951"/>
    <x v="68"/>
    <m/>
  </r>
  <r>
    <x v="59"/>
    <s v="Twitter"/>
    <n v="754"/>
    <n v="150"/>
    <n v="189622"/>
    <n v="4.25"/>
    <n v="11911"/>
    <n v="3.1852844079273504E-3"/>
    <n v="604"/>
    <x v="68"/>
    <m/>
  </r>
  <r>
    <x v="59"/>
    <s v="YouTube"/>
    <n v="1246"/>
    <n v="107"/>
    <n v="350949"/>
    <n v="4.9800000000000004"/>
    <n v="27809"/>
    <n v="3.2454858113287115E-3"/>
    <n v="1139"/>
    <x v="68"/>
    <m/>
  </r>
  <r>
    <x v="60"/>
    <s v="Instagram"/>
    <n v="780"/>
    <n v="213"/>
    <n v="121431"/>
    <n v="4.97"/>
    <n v="21464"/>
    <n v="4.669318378338316E-3"/>
    <n v="567"/>
    <x v="68"/>
    <m/>
  </r>
  <r>
    <x v="60"/>
    <s v="Twitter"/>
    <n v="1425"/>
    <n v="143"/>
    <n v="116742"/>
    <n v="3.71"/>
    <n v="27126"/>
    <n v="1.0981480529715098E-2"/>
    <n v="1282"/>
    <x v="68"/>
    <m/>
  </r>
  <r>
    <x v="60"/>
    <s v="YouTube"/>
    <n v="1490"/>
    <n v="103"/>
    <n v="81184"/>
    <n v="7.79"/>
    <n v="10681"/>
    <n v="1.7084647221127316E-2"/>
    <n v="1387"/>
    <x v="68"/>
    <m/>
  </r>
  <r>
    <x v="61"/>
    <s v="Instagram"/>
    <n v="949"/>
    <n v="282"/>
    <n v="87126"/>
    <n v="4.96"/>
    <n v="5413"/>
    <n v="7.6555792759910937E-3"/>
    <n v="667"/>
    <x v="68"/>
    <m/>
  </r>
  <r>
    <x v="61"/>
    <s v="Twitter"/>
    <n v="640"/>
    <n v="141"/>
    <n v="267546"/>
    <n v="8.58"/>
    <n v="25058"/>
    <n v="1.8650998332996943E-3"/>
    <n v="499"/>
    <x v="68"/>
    <m/>
  </r>
  <r>
    <x v="61"/>
    <s v="YouTube"/>
    <n v="616"/>
    <n v="93"/>
    <n v="133082"/>
    <n v="8.51"/>
    <n v="18303"/>
    <n v="3.9299078763469142E-3"/>
    <n v="523"/>
    <x v="68"/>
    <m/>
  </r>
  <r>
    <x v="62"/>
    <s v="Instagram"/>
    <n v="1080"/>
    <n v="184"/>
    <n v="340557"/>
    <n v="5.41"/>
    <n v="5526"/>
    <n v="2.6309839468870114E-3"/>
    <n v="896"/>
    <x v="68"/>
    <m/>
  </r>
  <r>
    <x v="62"/>
    <s v="Twitter"/>
    <n v="938"/>
    <n v="236"/>
    <n v="116472"/>
    <n v="8.7200000000000006"/>
    <n v="17460"/>
    <n v="6.0271996703070265E-3"/>
    <n v="702"/>
    <x v="68"/>
    <m/>
  </r>
  <r>
    <x v="62"/>
    <s v="YouTube"/>
    <n v="1007"/>
    <n v="258"/>
    <n v="113412"/>
    <n v="7.71"/>
    <n v="14475"/>
    <n v="6.6042394102916796E-3"/>
    <n v="749"/>
    <x v="68"/>
    <m/>
  </r>
  <r>
    <x v="63"/>
    <s v="Instagram"/>
    <n v="541"/>
    <n v="208"/>
    <n v="157547"/>
    <n v="8.35"/>
    <n v="20162"/>
    <n v="2.1136549728017671E-3"/>
    <n v="333"/>
    <x v="68"/>
    <m/>
  </r>
  <r>
    <x v="63"/>
    <s v="Twitter"/>
    <n v="745"/>
    <n v="98"/>
    <n v="354816"/>
    <n v="4.03"/>
    <n v="17103"/>
    <n v="1.823480339105339E-3"/>
    <n v="647"/>
    <x v="68"/>
    <m/>
  </r>
  <r>
    <x v="63"/>
    <s v="YouTube"/>
    <n v="936"/>
    <n v="97"/>
    <n v="151799"/>
    <n v="9.3699999999999992"/>
    <n v="15461"/>
    <n v="5.5270456327116777E-3"/>
    <n v="839"/>
    <x v="68"/>
    <m/>
  </r>
  <r>
    <x v="64"/>
    <s v="Instagram"/>
    <n v="1183"/>
    <n v="223"/>
    <n v="143811"/>
    <n v="6.07"/>
    <n v="22103"/>
    <n v="6.6754281661347186E-3"/>
    <n v="960"/>
    <x v="68"/>
    <m/>
  </r>
  <r>
    <x v="64"/>
    <s v="Twitter"/>
    <n v="1413"/>
    <n v="245"/>
    <n v="296450"/>
    <n v="6.52"/>
    <n v="11625"/>
    <n v="3.9399561477483558E-3"/>
    <n v="1168"/>
    <x v="68"/>
    <m/>
  </r>
  <r>
    <x v="64"/>
    <s v="YouTube"/>
    <n v="791"/>
    <n v="273"/>
    <n v="144049"/>
    <n v="3.08"/>
    <n v="5281"/>
    <n v="3.5959985838152297E-3"/>
    <n v="518"/>
    <x v="68"/>
    <m/>
  </r>
  <r>
    <x v="65"/>
    <s v="Instagram"/>
    <n v="1052"/>
    <n v="180"/>
    <n v="272534"/>
    <n v="5.34"/>
    <n v="13424"/>
    <n v="3.1996007837554212E-3"/>
    <n v="872"/>
    <x v="68"/>
    <m/>
  </r>
  <r>
    <x v="65"/>
    <s v="Twitter"/>
    <n v="572"/>
    <n v="270"/>
    <n v="82265"/>
    <n v="3.65"/>
    <n v="13140"/>
    <n v="3.6710630280192063E-3"/>
    <n v="302"/>
    <x v="68"/>
    <m/>
  </r>
  <r>
    <x v="65"/>
    <s v="YouTube"/>
    <n v="503"/>
    <n v="253"/>
    <n v="313562"/>
    <n v="4.18"/>
    <n v="19538"/>
    <n v="7.9729048800556194E-4"/>
    <n v="250"/>
    <x v="68"/>
    <m/>
  </r>
  <r>
    <x v="66"/>
    <s v="Instagram"/>
    <n v="1017"/>
    <n v="197"/>
    <n v="89918"/>
    <n v="3.91"/>
    <n v="7881"/>
    <n v="9.1194199159233963E-3"/>
    <n v="820"/>
    <x v="68"/>
    <m/>
  </r>
  <r>
    <x v="66"/>
    <s v="Twitter"/>
    <n v="860"/>
    <n v="244"/>
    <n v="348686"/>
    <n v="5.12"/>
    <n v="11418"/>
    <n v="1.7666324429429343E-3"/>
    <n v="616"/>
    <x v="6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70170-DDAE-49B4-8AC0-D533406F5F1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 Date">
  <location ref="J1:K69" firstHeaderRow="1" firstDataRow="1" firstDataCol="1"/>
  <pivotFields count="12">
    <pivotField axis="axisRow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h="1"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 of Net Gain Per Week" fld="8" baseField="0" baseItem="0"/>
  </dataFields>
  <formats count="11"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0" type="button" dataOnly="0" labelOnly="1" outline="0" axis="axisRow" fieldPosition="0"/>
    </format>
    <format dxfId="28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2">
      <pivotArea dataOnly="0" labelOnly="1" fieldPosition="0">
        <references count="1">
          <reference field="0" count="1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281">
      <pivotArea dataOnly="0" labelOnly="1" grandRow="1" outline="0" fieldPosition="0"/>
    </format>
    <format dxfId="280">
      <pivotArea dataOnly="0" labelOnly="1" outline="0" axis="axisValues" fieldPosition="0"/>
    </format>
    <format dxfId="279">
      <pivotArea field="0" type="button" dataOnly="0" labelOnly="1" outline="0" axis="axisRow" fieldPosition="0"/>
    </format>
    <format dxfId="278">
      <pivotArea dataOnly="0" labelOnly="1" outline="0" axis="axisValues" fieldPosition="0"/>
    </format>
    <format dxfId="277">
      <pivotArea field="0" type="button" dataOnly="0" labelOnly="1" outline="0" axis="axisRow" fieldPosition="0"/>
    </format>
    <format dxfId="2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2DC32-C37E-43CA-87EF-A7BD2AFDE562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D1:AE6" firstHeaderRow="1" firstDataRow="1" firstDataCol="1"/>
  <pivotFields count="4">
    <pivotField dataField="1" numFmtId="1" showAll="0"/>
    <pivotField showAll="0"/>
    <pivotField showAll="0">
      <items count="5">
        <item x="1"/>
        <item x="2"/>
        <item x="3"/>
        <item x="0"/>
        <item t="default"/>
      </items>
    </pivotField>
    <pivotField axis="axisRow" showAll="0">
      <items count="6">
        <item x="3"/>
        <item x="0"/>
        <item x="4"/>
        <item x="2"/>
        <item h="1"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licks" fld="0" baseField="0" baseItem="0" numFmtId="1"/>
  </dataFields>
  <formats count="8"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3" type="button" dataOnly="0" labelOnly="1" outline="0" axis="axisRow" fieldPosition="0"/>
    </format>
    <format dxfId="242">
      <pivotArea dataOnly="0" labelOnly="1" fieldPosition="0">
        <references count="1">
          <reference field="3" count="0"/>
        </references>
      </pivotArea>
    </format>
    <format dxfId="241">
      <pivotArea dataOnly="0" labelOnly="1" grandRow="1" outline="0" fieldPosition="0"/>
    </format>
    <format dxfId="240">
      <pivotArea dataOnly="0" labelOnly="1" outline="0" axis="axisValues" fieldPosition="0"/>
    </format>
    <format dxfId="239">
      <pivotArea field="3" type="button" dataOnly="0" labelOnly="1" outline="0" axis="axisRow" fieldPosition="0"/>
    </format>
    <format dxfId="2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4C8B8-48B4-4C61-B5BE-3D7F0BF6A79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AA1:A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>
      <items count="6">
        <item x="3"/>
        <item x="0"/>
        <item x="4"/>
        <item x="2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licks" fld="10" baseField="0" baseItem="0"/>
  </dataFields>
  <formats count="8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12" type="button" dataOnly="0" labelOnly="1" outline="0" axis="axisRow" fieldPosition="0"/>
    </format>
    <format dxfId="250">
      <pivotArea dataOnly="0" labelOnly="1" fieldPosition="0">
        <references count="1">
          <reference field="12" count="0"/>
        </references>
      </pivotArea>
    </format>
    <format dxfId="249">
      <pivotArea dataOnly="0" labelOnly="1" grandRow="1" outline="0" fieldPosition="0"/>
    </format>
    <format dxfId="248">
      <pivotArea dataOnly="0" labelOnly="1" outline="0" axis="axisValues" fieldPosition="0"/>
    </format>
    <format dxfId="247">
      <pivotArea field="12" type="button" dataOnly="0" labelOnly="1" outline="0" axis="axisRow" fieldPosition="0"/>
    </format>
    <format dxfId="2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A7079-6715-421D-8765-6308AB8333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 type" colHeaderCaption="">
  <location ref="J3:V9" firstHeaderRow="1" firstDataRow="3" firstDataCol="1"/>
  <pivotFields count="20"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numFmtId="10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formats count="22">
    <format dxfId="275">
      <pivotArea outline="0" collapsedLevelsAreSubtotals="1" fieldPosition="0"/>
    </format>
    <format dxfId="274">
      <pivotArea field="3" type="button" dataOnly="0" labelOnly="1" outline="0" axis="axisRow" fieldPosition="0"/>
    </format>
    <format dxfId="273">
      <pivotArea dataOnly="0" labelOnly="1" fieldPosition="0">
        <references count="1">
          <reference field="3" count="0"/>
        </references>
      </pivotArea>
    </format>
    <format dxfId="272">
      <pivotArea dataOnly="0" labelOnly="1" grandRow="1" outline="0" fieldPosition="0"/>
    </format>
    <format dxfId="271">
      <pivotArea field="1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270">
      <pivotArea field="1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269">
      <pivotArea field="1" dataOnly="0" labelOnly="1" grandCol="1" outline="0" offset="IV256" axis="axisCol" fieldPosition="0">
        <references count="1">
          <reference field="4294967294" count="1" selected="0">
            <x v="2"/>
          </reference>
        </references>
      </pivotArea>
    </format>
    <format dxfId="26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26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26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265">
      <pivotArea type="topRight" dataOnly="0" labelOnly="1" outline="0" offset="H1:J1" fieldPosition="0"/>
    </format>
    <format dxfId="264">
      <pivotArea field="1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263">
      <pivotArea field="1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262">
      <pivotArea field="1" dataOnly="0" labelOnly="1" grandCol="1" outline="0" offset="IV1" axis="axisCol" fieldPosition="0">
        <references count="1">
          <reference field="4294967294" count="1" selected="0">
            <x v="2"/>
          </reference>
        </references>
      </pivotArea>
    </format>
    <format dxfId="261">
      <pivotArea type="origin" dataOnly="0" labelOnly="1" outline="0" offset="A2" fieldPosition="0"/>
    </format>
    <format dxfId="260">
      <pivotArea field="3" type="button" dataOnly="0" labelOnly="1" outline="0" axis="axisRow" fieldPosition="0"/>
    </format>
    <format dxfId="259">
      <pivotArea dataOnly="0" labelOnly="1" fieldPosition="0">
        <references count="1">
          <reference field="1" count="0"/>
        </references>
      </pivotArea>
    </format>
    <format dxfId="25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25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2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25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254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B24A4-FC4C-457D-B7C4-1507E0D1C707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latform">
  <location ref="B1:C5" firstHeaderRow="1" firstDataRow="1" firstDataCol="1"/>
  <pivotFields count="7"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wth rate per post" fld="6" baseField="0" baseItem="0" numFmtId="10"/>
  </dataFields>
  <formats count="42">
    <format dxfId="199">
      <pivotArea outline="0" collapsedLevelsAreSubtotals="1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0" type="button" dataOnly="0" labelOnly="1" outline="0" axis="axisRow" fieldPosition="0"/>
    </format>
    <format dxfId="195">
      <pivotArea dataOnly="0" labelOnly="1" fieldPosition="0">
        <references count="1">
          <reference field="0" count="0"/>
        </references>
      </pivotArea>
    </format>
    <format dxfId="194">
      <pivotArea dataOnly="0" labelOnly="1" grandRow="1" outline="0" fieldPosition="0"/>
    </format>
    <format dxfId="193">
      <pivotArea dataOnly="0" labelOnly="1" outline="0" axis="axisValues" fieldPosition="0"/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field="0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outline="0" axis="axisValues" fieldPosition="0"/>
    </format>
    <format dxfId="187">
      <pivotArea type="all" dataOnly="0" outline="0" fieldPosition="0"/>
    </format>
    <format dxfId="186">
      <pivotArea field="0" type="button" dataOnly="0" labelOnly="1" outline="0" axis="axisRow" fieldPosition="0"/>
    </format>
    <format dxfId="185">
      <pivotArea dataOnly="0" labelOnly="1" fieldPosition="0">
        <references count="1">
          <reference field="0" count="0"/>
        </references>
      </pivotArea>
    </format>
    <format dxfId="184">
      <pivotArea dataOnly="0" labelOnly="1" outline="0" axis="axisValues" fieldPosition="0"/>
    </format>
    <format dxfId="183">
      <pivotArea collapsedLevelsAreSubtotals="1" fieldPosition="0">
        <references count="1">
          <reference field="0" count="1">
            <x v="1"/>
          </reference>
        </references>
      </pivotArea>
    </format>
    <format dxfId="182">
      <pivotArea dataOnly="0" labelOnly="1" fieldPosition="0">
        <references count="1">
          <reference field="0" count="1">
            <x v="1"/>
          </reference>
        </references>
      </pivotArea>
    </format>
    <format dxfId="181">
      <pivotArea collapsedLevelsAreSubtotals="1" fieldPosition="0">
        <references count="1">
          <reference field="0" count="1">
            <x v="1"/>
          </reference>
        </references>
      </pivotArea>
    </format>
    <format dxfId="180">
      <pivotArea dataOnly="0" labelOnly="1" fieldPosition="0">
        <references count="1">
          <reference field="0" count="1">
            <x v="1"/>
          </reference>
        </references>
      </pivotArea>
    </format>
    <format dxfId="179">
      <pivotArea field="0" type="button" dataOnly="0" labelOnly="1" outline="0" axis="axisRow" fieldPosition="0"/>
    </format>
    <format dxfId="178">
      <pivotArea dataOnly="0" labelOnly="1" outline="0" axis="axisValues" fieldPosition="0"/>
    </format>
    <format dxfId="177">
      <pivotArea field="0" type="button" dataOnly="0" labelOnly="1" outline="0" axis="axisRow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0" type="button" dataOnly="0" labelOnly="1" outline="0" axis="axisRow" fieldPosition="0"/>
    </format>
    <format dxfId="172">
      <pivotArea dataOnly="0" labelOnly="1" fieldPosition="0">
        <references count="1">
          <reference field="0" count="0"/>
        </references>
      </pivotArea>
    </format>
    <format dxfId="171">
      <pivotArea dataOnly="0" labelOnly="1" grandRow="1" outline="0" fieldPosition="0"/>
    </format>
    <format dxfId="170">
      <pivotArea dataOnly="0" labelOnly="1" outline="0" axis="axisValues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0" type="button" dataOnly="0" labelOnly="1" outline="0" axis="axisRow" fieldPosition="0"/>
    </format>
    <format dxfId="166">
      <pivotArea dataOnly="0" labelOnly="1" fieldPosition="0">
        <references count="1">
          <reference field="0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0" type="button" dataOnly="0" labelOnly="1" outline="0" axis="axisRow" fieldPosition="0"/>
    </format>
    <format dxfId="160">
      <pivotArea dataOnly="0" labelOnly="1" fieldPosition="0">
        <references count="1">
          <reference field="0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70E81-6345-4E3D-960B-3B74724423BC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E1:G5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/>
    <pivotField dataField="1" numFmtId="2" showAll="0"/>
    <pivotField dataField="1" numFmtI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4" subtotal="average" baseField="0" baseItem="0" numFmtId="2"/>
    <dataField name="Sum of Ad_Spend" fld="5" baseField="0" baseItem="0" numFmtId="1"/>
  </dataFields>
  <formats count="38">
    <format dxfId="237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5">
      <pivotArea type="all" dataOnly="0" outline="0" fieldPosition="0"/>
    </format>
    <format dxfId="234">
      <pivotArea field="0" type="button" dataOnly="0" labelOnly="1" outline="0" axis="axisRow" fieldPosition="0"/>
    </format>
    <format dxfId="233">
      <pivotArea dataOnly="0" labelOnly="1" fieldPosition="0">
        <references count="1">
          <reference field="0" count="0"/>
        </references>
      </pivotArea>
    </format>
    <format dxfId="2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1">
      <pivotArea type="all" dataOnly="0" outline="0" fieldPosition="0"/>
    </format>
    <format dxfId="230">
      <pivotArea field="0" type="button" dataOnly="0" labelOnly="1" outline="0" axis="axisRow" fieldPosition="0"/>
    </format>
    <format dxfId="229">
      <pivotArea dataOnly="0" labelOnly="1" fieldPosition="0">
        <references count="1">
          <reference field="0" count="0"/>
        </references>
      </pivotArea>
    </format>
    <format dxfId="2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7">
      <pivotArea collapsedLevelsAreSubtotals="1" fieldPosition="0">
        <references count="1">
          <reference field="0" count="1">
            <x v="1"/>
          </reference>
        </references>
      </pivotArea>
    </format>
    <format dxfId="226">
      <pivotArea dataOnly="0" labelOnly="1" fieldPosition="0">
        <references count="1">
          <reference field="0" count="1">
            <x v="1"/>
          </reference>
        </references>
      </pivotArea>
    </format>
    <format dxfId="225">
      <pivotArea collapsedLevelsAreSubtotals="1" fieldPosition="0">
        <references count="1">
          <reference field="0" count="1">
            <x v="1"/>
          </reference>
        </references>
      </pivotArea>
    </format>
    <format dxfId="224">
      <pivotArea dataOnly="0" labelOnly="1" fieldPosition="0">
        <references count="1">
          <reference field="0" count="1">
            <x v="1"/>
          </reference>
        </references>
      </pivotArea>
    </format>
    <format dxfId="22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2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221">
      <pivotArea field="0" type="button" dataOnly="0" labelOnly="1" outline="0" axis="axisRow" fieldPosition="0"/>
    </format>
    <format dxfId="2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9">
      <pivotArea field="0" type="button" dataOnly="0" labelOnly="1" outline="0" axis="axisRow" fieldPosition="0"/>
    </format>
    <format dxfId="2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0" type="button" dataOnly="0" labelOnly="1" outline="0" axis="axisRow" fieldPosition="0"/>
    </format>
    <format dxfId="214">
      <pivotArea dataOnly="0" labelOnly="1" fieldPosition="0">
        <references count="1">
          <reference field="0" count="0"/>
        </references>
      </pivotArea>
    </format>
    <format dxfId="213">
      <pivotArea dataOnly="0" labelOnly="1" grandRow="1" outline="0" fieldPosition="0"/>
    </format>
    <format dxfId="2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0" type="button" dataOnly="0" labelOnly="1" outline="0" axis="axisRow" fieldPosition="0"/>
    </format>
    <format dxfId="208">
      <pivotArea dataOnly="0" labelOnly="1" fieldPosition="0">
        <references count="1">
          <reference field="0" count="0"/>
        </references>
      </pivotArea>
    </format>
    <format dxfId="207">
      <pivotArea dataOnly="0" labelOnly="1" grandRow="1" outline="0" fieldPosition="0"/>
    </format>
    <format dxfId="2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0" type="button" dataOnly="0" labelOnly="1" outline="0" axis="axisRow" fieldPosition="0"/>
    </format>
    <format dxfId="202">
      <pivotArea dataOnly="0" labelOnly="1" fieldPosition="0">
        <references count="1">
          <reference field="0" count="0"/>
        </references>
      </pivotArea>
    </format>
    <format dxfId="201">
      <pivotArea dataOnly="0" labelOnly="1" grandRow="1" outline="0" fieldPosition="0"/>
    </format>
    <format dxfId="2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400D5-50A6-4965-89F4-BA78B4BE86BC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content types">
  <location ref="H3:L8" firstHeaderRow="1" firstDataRow="2" firstDataCol="1"/>
  <pivotFields count="16">
    <pivotField showAll="0"/>
    <pivotField axis="axisCol" showAll="0">
      <items count="5">
        <item x="0"/>
        <item x="1"/>
        <item x="2"/>
        <item x="3"/>
        <item t="default"/>
      </items>
    </pivotField>
    <pivotField showAll="0">
      <items count="237">
        <item x="58"/>
        <item x="118"/>
        <item x="222"/>
        <item x="54"/>
        <item x="122"/>
        <item x="68"/>
        <item x="233"/>
        <item x="75"/>
        <item x="174"/>
        <item x="198"/>
        <item x="137"/>
        <item x="72"/>
        <item x="91"/>
        <item x="125"/>
        <item x="119"/>
        <item x="197"/>
        <item x="201"/>
        <item x="16"/>
        <item x="234"/>
        <item x="148"/>
        <item x="192"/>
        <item x="43"/>
        <item x="97"/>
        <item x="110"/>
        <item x="219"/>
        <item x="223"/>
        <item x="120"/>
        <item x="115"/>
        <item x="87"/>
        <item x="25"/>
        <item x="9"/>
        <item x="44"/>
        <item x="92"/>
        <item x="90"/>
        <item x="217"/>
        <item x="178"/>
        <item x="164"/>
        <item x="89"/>
        <item x="86"/>
        <item x="215"/>
        <item x="65"/>
        <item x="64"/>
        <item x="154"/>
        <item x="129"/>
        <item x="3"/>
        <item x="147"/>
        <item x="186"/>
        <item x="57"/>
        <item x="157"/>
        <item x="38"/>
        <item x="82"/>
        <item x="143"/>
        <item x="98"/>
        <item x="33"/>
        <item x="13"/>
        <item x="29"/>
        <item x="52"/>
        <item x="6"/>
        <item x="173"/>
        <item x="116"/>
        <item x="48"/>
        <item x="10"/>
        <item x="111"/>
        <item x="71"/>
        <item x="62"/>
        <item x="140"/>
        <item x="158"/>
        <item x="211"/>
        <item x="20"/>
        <item x="15"/>
        <item x="4"/>
        <item x="208"/>
        <item x="17"/>
        <item x="167"/>
        <item x="135"/>
        <item x="196"/>
        <item x="218"/>
        <item x="226"/>
        <item x="104"/>
        <item x="228"/>
        <item x="161"/>
        <item x="18"/>
        <item x="60"/>
        <item x="207"/>
        <item x="177"/>
        <item x="166"/>
        <item x="42"/>
        <item x="108"/>
        <item x="55"/>
        <item x="184"/>
        <item x="105"/>
        <item x="94"/>
        <item x="84"/>
        <item x="165"/>
        <item x="80"/>
        <item x="209"/>
        <item x="151"/>
        <item x="56"/>
        <item x="50"/>
        <item x="227"/>
        <item x="81"/>
        <item x="182"/>
        <item x="78"/>
        <item x="132"/>
        <item x="46"/>
        <item x="156"/>
        <item x="144"/>
        <item x="49"/>
        <item x="41"/>
        <item x="102"/>
        <item x="107"/>
        <item x="35"/>
        <item x="179"/>
        <item x="204"/>
        <item x="172"/>
        <item x="99"/>
        <item x="141"/>
        <item x="124"/>
        <item x="133"/>
        <item x="127"/>
        <item x="180"/>
        <item x="12"/>
        <item x="30"/>
        <item x="22"/>
        <item x="69"/>
        <item x="95"/>
        <item x="191"/>
        <item x="93"/>
        <item x="21"/>
        <item x="200"/>
        <item x="224"/>
        <item x="96"/>
        <item x="59"/>
        <item x="117"/>
        <item x="19"/>
        <item x="216"/>
        <item x="162"/>
        <item x="88"/>
        <item x="150"/>
        <item x="213"/>
        <item x="128"/>
        <item x="103"/>
        <item x="155"/>
        <item x="36"/>
        <item x="130"/>
        <item x="24"/>
        <item x="214"/>
        <item x="221"/>
        <item x="2"/>
        <item x="8"/>
        <item x="176"/>
        <item x="193"/>
        <item x="203"/>
        <item x="163"/>
        <item x="66"/>
        <item x="5"/>
        <item x="202"/>
        <item x="134"/>
        <item x="230"/>
        <item x="14"/>
        <item x="181"/>
        <item x="28"/>
        <item x="79"/>
        <item x="67"/>
        <item x="31"/>
        <item x="175"/>
        <item x="101"/>
        <item x="189"/>
        <item x="171"/>
        <item x="113"/>
        <item x="212"/>
        <item x="100"/>
        <item x="74"/>
        <item x="61"/>
        <item x="39"/>
        <item x="153"/>
        <item x="225"/>
        <item x="1"/>
        <item x="210"/>
        <item x="45"/>
        <item x="138"/>
        <item x="40"/>
        <item x="106"/>
        <item x="83"/>
        <item x="53"/>
        <item x="170"/>
        <item x="145"/>
        <item x="220"/>
        <item x="51"/>
        <item x="77"/>
        <item x="231"/>
        <item x="131"/>
        <item x="26"/>
        <item x="123"/>
        <item x="146"/>
        <item x="199"/>
        <item x="160"/>
        <item x="159"/>
        <item x="183"/>
        <item x="205"/>
        <item x="139"/>
        <item x="109"/>
        <item x="63"/>
        <item x="229"/>
        <item x="47"/>
        <item x="27"/>
        <item x="85"/>
        <item x="114"/>
        <item x="185"/>
        <item x="0"/>
        <item x="70"/>
        <item x="32"/>
        <item x="194"/>
        <item x="23"/>
        <item x="126"/>
        <item x="168"/>
        <item x="136"/>
        <item x="149"/>
        <item x="34"/>
        <item x="73"/>
        <item x="112"/>
        <item x="190"/>
        <item x="169"/>
        <item x="206"/>
        <item x="37"/>
        <item x="142"/>
        <item x="7"/>
        <item x="76"/>
        <item x="11"/>
        <item x="187"/>
        <item x="195"/>
        <item x="188"/>
        <item x="152"/>
        <item x="232"/>
        <item x="121"/>
        <item x="235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engagement rate" fld="15" subtotal="count" baseField="3" baseItem="0" numFmtId="2"/>
  </dataFields>
  <formats count="31">
    <format dxfId="143">
      <pivotArea outline="0" collapsedLevelsAreSubtotals="1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1" type="button" dataOnly="0" labelOnly="1" outline="0" axis="axisCol" fieldPosition="0"/>
    </format>
    <format dxfId="138">
      <pivotArea type="topRight" dataOnly="0" labelOnly="1" outline="0" fieldPosition="0"/>
    </format>
    <format dxfId="137">
      <pivotArea field="3" type="button" dataOnly="0" labelOnly="1" outline="0" axis="axisRow" fieldPosition="0"/>
    </format>
    <format dxfId="136">
      <pivotArea dataOnly="0" labelOnly="1" fieldPosition="0">
        <references count="1">
          <reference field="3" count="0"/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133">
      <pivotArea dataOnly="0" labelOnly="1" grandCol="1" outline="0" fieldPosition="0"/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type="origin" dataOnly="0" labelOnly="1" outline="0" fieldPosition="0"/>
    </format>
    <format dxfId="129">
      <pivotArea field="1" type="button" dataOnly="0" labelOnly="1" outline="0" axis="axisCol" fieldPosition="0"/>
    </format>
    <format dxfId="128">
      <pivotArea type="topRight" dataOnly="0" labelOnly="1" outline="0" fieldPosition="0"/>
    </format>
    <format dxfId="127">
      <pivotArea field="3" type="button" dataOnly="0" labelOnly="1" outline="0" axis="axisRow" fieldPosition="0"/>
    </format>
    <format dxfId="126">
      <pivotArea dataOnly="0" labelOnly="1" fieldPosition="0">
        <references count="1">
          <reference field="3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123">
      <pivotArea dataOnly="0" labelOnly="1" grandCol="1" outline="0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type="origin" dataOnly="0" labelOnly="1" outline="0" fieldPosition="0"/>
    </format>
    <format dxfId="119">
      <pivotArea field="1" type="button" dataOnly="0" labelOnly="1" outline="0" axis="axisCol" fieldPosition="0"/>
    </format>
    <format dxfId="118">
      <pivotArea type="topRight" dataOnly="0" labelOnly="1" outline="0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grandRow="1" outline="0" fieldPosition="0"/>
    </format>
    <format dxfId="114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1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AC5AA-56D4-4677-8989-5B668742AB77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htags">
  <location ref="C2:E11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1"/>
        <item x="4"/>
        <item x="7"/>
        <item x="3"/>
        <item x="2"/>
        <item x="5"/>
        <item x="6"/>
        <item x="0"/>
        <item h="1" x="8"/>
        <item t="default"/>
      </items>
    </pivotField>
    <pivotField showAll="0"/>
    <pivotField showAll="0"/>
    <pivotField showAll="0"/>
    <pivotField dataField="1"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 Used" fld="11" subtotal="count" baseField="11" baseItem="0"/>
    <dataField name="Average of engagement rate" fld="15" subtotal="average" baseField="11" baseItem="0" numFmtId="10"/>
  </dataFields>
  <formats count="14">
    <format dxfId="157">
      <pivotArea field="11" type="button" dataOnly="0" labelOnly="1" outline="0" axis="axisRow" fieldPosition="0"/>
    </format>
    <format dxfId="1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11" type="button" dataOnly="0" labelOnly="1" outline="0" axis="axisRow" fieldPosition="0"/>
    </format>
    <format dxfId="152">
      <pivotArea dataOnly="0" labelOnly="1" fieldPosition="0">
        <references count="1">
          <reference field="11" count="0"/>
        </references>
      </pivotArea>
    </format>
    <format dxfId="151">
      <pivotArea dataOnly="0" labelOnly="1" grandRow="1" outline="0" fieldPosition="0"/>
    </format>
    <format dxfId="1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field="11" type="button" dataOnly="0" labelOnly="1" outline="0" axis="axisRow" fieldPosition="0"/>
    </format>
    <format dxfId="146">
      <pivotArea dataOnly="0" labelOnly="1" fieldPosition="0">
        <references count="1">
          <reference field="11" count="0"/>
        </references>
      </pivotArea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5C6DC8-DD97-4628-9FBC-AA4836433F2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 Name">
  <location ref="C1:D6" firstHeaderRow="1" firstDataRow="1" firstDataCol="1"/>
  <pivotFields count="2">
    <pivotField axis="axisRow" showAll="0">
      <items count="6">
        <item x="0"/>
        <item x="1"/>
        <item x="3"/>
        <item x="2"/>
        <item h="1" x="4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of  impressions, likes, clicks" fld="1" baseField="0" baseItem="0" numFmtId="2"/>
  </dataFields>
  <formats count="27">
    <format dxfId="112">
      <pivotArea outline="0" collapsedLevelsAreSubtotals="1" fieldPosition="0"/>
    </format>
    <format dxfId="111">
      <pivotArea collapsedLevelsAreSubtotals="1" fieldPosition="0">
        <references count="1">
          <reference field="0" count="1">
            <x v="1"/>
          </reference>
        </references>
      </pivotArea>
    </format>
    <format dxfId="110">
      <pivotArea collapsedLevelsAreSubtotals="1" fieldPosition="0">
        <references count="1">
          <reference field="0" count="1">
            <x v="1"/>
          </reference>
        </references>
      </pivotArea>
    </format>
    <format dxfId="109">
      <pivotArea field="0" type="button" dataOnly="0" labelOnly="1" outline="0" axis="axisRow" fieldPosition="0"/>
    </format>
    <format dxfId="108">
      <pivotArea dataOnly="0" labelOnly="1" outline="0" axis="axisValues" fieldPosition="0"/>
    </format>
    <format dxfId="107">
      <pivotArea field="0" type="button" dataOnly="0" labelOnly="1" outline="0" axis="axisRow" fieldPosition="0"/>
    </format>
    <format dxfId="106">
      <pivotArea dataOnly="0" labelOnly="1" outline="0" axis="axisValues" fieldPosition="0"/>
    </format>
    <format dxfId="105">
      <pivotArea field="0" type="button" dataOnly="0" labelOnly="1" outline="0" axis="axisRow" fieldPosition="0"/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axis="axisRow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  <format dxfId="92">
      <pivotArea dataOnly="0" labelOnly="1" outline="0" axis="axisValues" fieldPosition="0"/>
    </format>
    <format dxfId="91">
      <pivotArea collapsedLevelsAreSubtotals="1" fieldPosition="0">
        <references count="1">
          <reference field="0" count="0"/>
        </references>
      </pivotArea>
    </format>
    <format dxfId="90">
      <pivotArea grandRow="1" outline="0" collapsedLevelsAreSubtotals="1" fieldPosition="0"/>
    </format>
    <format dxfId="89">
      <pivotArea field="0" type="button" dataOnly="0" labelOnly="1" outline="0" axis="axisRow" fieldPosition="0"/>
    </format>
    <format dxfId="88">
      <pivotArea dataOnly="0" labelOnly="1" outline="0" axis="axisValues" fieldPosition="0"/>
    </format>
    <format dxfId="87">
      <pivotArea collapsedLevelsAreSubtotals="1" fieldPosition="0">
        <references count="1">
          <reference field="0" count="0"/>
        </references>
      </pivotArea>
    </format>
    <format dxfId="86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C9F47-DF9D-4F68-B4C5-B815BBB36BE5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s Date">
  <location ref="H1:I69" firstHeaderRow="1" firstDataRow="1" firstDataCol="1"/>
  <pivotFields count="14">
    <pivotField axis="axisRow" numFmtId="165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numFmtId="1" showAll="0"/>
    <pivotField numFmtId="2" showAll="0"/>
    <pivotField numFmtId="1" showAll="0"/>
    <pivotField numFmtId="10" showAll="0"/>
    <pivotField dataField="1" numFmtId="1" showAll="0"/>
    <pivotField showAll="0">
      <items count="70"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Weekly Net Gain" fld="8" baseField="0" baseItem="0" numFmtId="1"/>
  </dataFields>
  <formats count="21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1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099B8-BF10-4548-8D0A-1E33159A614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Weeks date">
  <location ref="C1:D69" firstHeaderRow="1" firstDataRow="1" firstDataCol="1"/>
  <pivotFields count="14">
    <pivotField axis="axisRow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h="1"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Follower Net Gain Per week" fld="8" baseField="0" baseItem="0"/>
  </dataFields>
  <formats count="42"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0" type="button" dataOnly="0" labelOnly="1" outline="0" axis="axisRow" fieldPosition="0"/>
    </format>
    <format dxfId="61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0">
      <pivotArea dataOnly="0" labelOnly="1" fieldPosition="0">
        <references count="1">
          <reference field="0" count="18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0" type="button" dataOnly="0" labelOnly="1" outline="0" axis="axisRow" fieldPosition="0"/>
    </format>
    <format dxfId="4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6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axis="axisRow" fieldPosition="0"/>
    </format>
    <format dxfId="4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9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2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EA217-9130-4186-B572-0A4288562F0A}" name="PivotTable1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2" rowHeaderCaption="Weeks">
  <location ref="U1:W69" firstHeaderRow="0" firstDataRow="1" firstDataCol="1"/>
  <pivotFields count="12">
    <pivotField axis="axisRow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h="1" x="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Net Follower Gain" fld="8" baseField="0" baseItem="0"/>
    <dataField name="Ad Spent" fld="6" baseField="0" baseItem="0"/>
  </dataFields>
  <formats count="21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1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0" type="button" dataOnly="0" labelOnly="1" outline="0" axis="axisRow" fieldPosition="0"/>
    </format>
    <format dxfId="7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4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0" type="button" dataOnly="0" labelOnly="1" outline="0" axis="axisRow" fieldPosition="0"/>
    </format>
    <format dxfId="6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7">
      <pivotArea dataOnly="0" labelOnly="1" fieldPosition="0">
        <references count="1">
          <reference field="0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9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3H8FVNRhgeCwHEIM-O0O2P14KXxwhEgS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00"/>
  <sheetViews>
    <sheetView topLeftCell="H1" zoomScale="120" zoomScaleNormal="120" workbookViewId="0">
      <pane ySplit="1" topLeftCell="A2" activePane="bottomLeft" state="frozen"/>
      <selection pane="bottomLeft" activeCell="D33" sqref="D33"/>
    </sheetView>
  </sheetViews>
  <sheetFormatPr defaultColWidth="14.44140625" defaultRowHeight="15" customHeight="1"/>
  <cols>
    <col min="1" max="1" width="8.6640625" style="58" customWidth="1"/>
    <col min="2" max="2" width="12.77734375" style="58" bestFit="1" customWidth="1"/>
    <col min="3" max="3" width="12" style="99" customWidth="1"/>
    <col min="4" max="4" width="16.77734375" style="188" bestFit="1" customWidth="1"/>
    <col min="5" max="5" width="45.44140625" style="188" bestFit="1" customWidth="1"/>
    <col min="6" max="6" width="9.5546875" style="63" bestFit="1" customWidth="1"/>
    <col min="7" max="7" width="11" style="63" bestFit="1" customWidth="1"/>
    <col min="8" max="8" width="14.5546875" style="63" bestFit="1" customWidth="1"/>
    <col min="9" max="9" width="15.44140625" style="63" bestFit="1" customWidth="1"/>
    <col min="10" max="11" width="8.6640625" style="63" customWidth="1"/>
    <col min="12" max="12" width="37.109375" style="58" bestFit="1" customWidth="1"/>
    <col min="13" max="14" width="20.44140625" style="58" bestFit="1" customWidth="1"/>
    <col min="15" max="15" width="17.6640625" style="192" bestFit="1" customWidth="1"/>
    <col min="16" max="16" width="16.5546875" style="30" bestFit="1" customWidth="1"/>
    <col min="17" max="17" width="14.44140625" style="31"/>
    <col min="18" max="18" width="14.44140625" style="93"/>
    <col min="19" max="19" width="14.44140625" style="90"/>
    <col min="20" max="16384" width="14.44140625" style="58"/>
  </cols>
  <sheetData>
    <row r="1" spans="1:19" s="38" customFormat="1" ht="18.75" customHeight="1">
      <c r="A1" s="10" t="s">
        <v>0</v>
      </c>
      <c r="B1" s="10" t="s">
        <v>1</v>
      </c>
      <c r="C1" s="97" t="s">
        <v>2</v>
      </c>
      <c r="D1" s="186" t="s">
        <v>3</v>
      </c>
      <c r="E1" s="186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0" t="s">
        <v>11</v>
      </c>
      <c r="M1" s="10" t="s">
        <v>380</v>
      </c>
      <c r="N1" s="10" t="s">
        <v>393</v>
      </c>
      <c r="O1" s="189" t="s">
        <v>12</v>
      </c>
      <c r="P1" s="52" t="s">
        <v>377</v>
      </c>
      <c r="R1" s="92"/>
      <c r="S1" s="67"/>
    </row>
    <row r="2" spans="1:19" ht="14.4">
      <c r="A2" s="12" t="s">
        <v>13</v>
      </c>
      <c r="B2" s="12" t="s">
        <v>14</v>
      </c>
      <c r="C2" s="98">
        <v>45781</v>
      </c>
      <c r="D2" s="187" t="s">
        <v>15</v>
      </c>
      <c r="E2" s="187" t="s">
        <v>16</v>
      </c>
      <c r="F2" s="13">
        <v>2414</v>
      </c>
      <c r="G2" s="13">
        <v>245</v>
      </c>
      <c r="H2" s="13">
        <v>137</v>
      </c>
      <c r="I2" s="13">
        <v>21181</v>
      </c>
      <c r="J2" s="13">
        <v>45292</v>
      </c>
      <c r="K2" s="13">
        <v>133</v>
      </c>
      <c r="L2" s="12" t="s">
        <v>370</v>
      </c>
      <c r="M2" s="12" t="s">
        <v>38</v>
      </c>
      <c r="N2" s="12" t="s">
        <v>35</v>
      </c>
      <c r="O2" s="190" t="s">
        <v>17</v>
      </c>
      <c r="P2" s="30">
        <f t="shared" ref="P2:P65" si="0">(F2+G2+H2)/I2</f>
        <v>0.13200509890939993</v>
      </c>
      <c r="R2" s="31"/>
      <c r="S2" s="58"/>
    </row>
    <row r="3" spans="1:19" ht="14.4" hidden="1">
      <c r="A3" s="12" t="s">
        <v>18</v>
      </c>
      <c r="B3" s="12" t="s">
        <v>14</v>
      </c>
      <c r="C3" s="98">
        <v>45689</v>
      </c>
      <c r="D3" s="12" t="s">
        <v>15</v>
      </c>
      <c r="E3" s="12" t="s">
        <v>19</v>
      </c>
      <c r="F3" s="13">
        <v>1934</v>
      </c>
      <c r="G3" s="13">
        <v>210</v>
      </c>
      <c r="H3" s="13">
        <v>393</v>
      </c>
      <c r="I3" s="13">
        <v>29129</v>
      </c>
      <c r="J3" s="13">
        <v>73287</v>
      </c>
      <c r="K3" s="13">
        <v>273</v>
      </c>
      <c r="L3" s="12" t="s">
        <v>20</v>
      </c>
      <c r="M3" s="12" t="s">
        <v>20</v>
      </c>
      <c r="N3" s="12"/>
      <c r="O3" s="69" t="s">
        <v>21</v>
      </c>
      <c r="P3" s="53">
        <f t="shared" si="0"/>
        <v>8.7095334546328396E-2</v>
      </c>
      <c r="R3" s="31"/>
      <c r="S3" s="58"/>
    </row>
    <row r="4" spans="1:19" ht="14.4">
      <c r="A4" s="12" t="s">
        <v>22</v>
      </c>
      <c r="B4" s="12" t="s">
        <v>23</v>
      </c>
      <c r="C4" s="98">
        <v>45629</v>
      </c>
      <c r="D4" s="187" t="s">
        <v>24</v>
      </c>
      <c r="E4" s="187" t="s">
        <v>25</v>
      </c>
      <c r="F4" s="13">
        <v>3092</v>
      </c>
      <c r="G4" s="13">
        <v>177</v>
      </c>
      <c r="H4" s="13">
        <v>81</v>
      </c>
      <c r="I4" s="13">
        <v>47533</v>
      </c>
      <c r="J4" s="13">
        <v>29220</v>
      </c>
      <c r="K4" s="13">
        <v>121</v>
      </c>
      <c r="L4" s="12" t="s">
        <v>371</v>
      </c>
      <c r="M4" s="12" t="s">
        <v>351</v>
      </c>
      <c r="N4" s="12" t="s">
        <v>35</v>
      </c>
      <c r="O4" s="190" t="s">
        <v>17</v>
      </c>
      <c r="P4" s="30">
        <f t="shared" si="0"/>
        <v>7.0477352576105018E-2</v>
      </c>
      <c r="R4" s="31"/>
      <c r="S4" s="58"/>
    </row>
    <row r="5" spans="1:19" ht="14.4">
      <c r="A5" s="12" t="s">
        <v>26</v>
      </c>
      <c r="B5" s="12" t="s">
        <v>14</v>
      </c>
      <c r="C5" s="98">
        <v>45629</v>
      </c>
      <c r="D5" s="187" t="s">
        <v>15</v>
      </c>
      <c r="E5" s="187" t="s">
        <v>353</v>
      </c>
      <c r="F5" s="13">
        <v>3173</v>
      </c>
      <c r="G5" s="13">
        <v>229</v>
      </c>
      <c r="H5" s="13">
        <v>197</v>
      </c>
      <c r="I5" s="13">
        <v>29604</v>
      </c>
      <c r="J5" s="13">
        <v>21809</v>
      </c>
      <c r="K5" s="13">
        <v>272</v>
      </c>
      <c r="L5" s="12" t="s">
        <v>370</v>
      </c>
      <c r="M5" s="12" t="s">
        <v>38</v>
      </c>
      <c r="N5" s="12" t="s">
        <v>35</v>
      </c>
      <c r="O5" s="190" t="s">
        <v>17</v>
      </c>
      <c r="P5" s="30">
        <f t="shared" si="0"/>
        <v>0.1215714092690177</v>
      </c>
      <c r="R5" s="31"/>
      <c r="S5" s="58"/>
    </row>
    <row r="6" spans="1:19" ht="30.75" hidden="1" customHeight="1">
      <c r="A6" s="12" t="s">
        <v>27</v>
      </c>
      <c r="B6" s="12" t="s">
        <v>28</v>
      </c>
      <c r="C6" s="98">
        <v>45388</v>
      </c>
      <c r="D6" s="12" t="s">
        <v>15</v>
      </c>
      <c r="E6" s="12" t="s">
        <v>356</v>
      </c>
      <c r="F6" s="13">
        <v>2748</v>
      </c>
      <c r="G6" s="13">
        <v>145</v>
      </c>
      <c r="H6" s="13">
        <v>315</v>
      </c>
      <c r="I6" s="13">
        <v>24401</v>
      </c>
      <c r="J6" s="13">
        <v>61182</v>
      </c>
      <c r="K6" s="13">
        <v>200</v>
      </c>
      <c r="L6" s="12" t="s">
        <v>372</v>
      </c>
      <c r="M6" s="12" t="s">
        <v>20</v>
      </c>
      <c r="N6" s="12" t="s">
        <v>352</v>
      </c>
      <c r="O6" s="69" t="s">
        <v>21</v>
      </c>
      <c r="P6" s="53">
        <f t="shared" si="0"/>
        <v>0.1314700217204213</v>
      </c>
      <c r="R6" s="31"/>
      <c r="S6" s="58"/>
    </row>
    <row r="7" spans="1:19" ht="14.4" hidden="1">
      <c r="A7" s="12" t="s">
        <v>29</v>
      </c>
      <c r="B7" s="12" t="s">
        <v>28</v>
      </c>
      <c r="C7" s="98">
        <v>45456</v>
      </c>
      <c r="D7" s="12" t="s">
        <v>15</v>
      </c>
      <c r="E7" s="12" t="s">
        <v>354</v>
      </c>
      <c r="F7" s="13">
        <v>3882</v>
      </c>
      <c r="G7" s="13">
        <v>239</v>
      </c>
      <c r="H7" s="13">
        <v>275</v>
      </c>
      <c r="I7" s="13">
        <v>58748</v>
      </c>
      <c r="J7" s="13">
        <v>44646</v>
      </c>
      <c r="K7" s="13">
        <v>149</v>
      </c>
      <c r="L7" s="12" t="s">
        <v>372</v>
      </c>
      <c r="M7" s="12" t="s">
        <v>20</v>
      </c>
      <c r="N7" s="12" t="s">
        <v>352</v>
      </c>
      <c r="O7" s="69" t="s">
        <v>21</v>
      </c>
      <c r="P7" s="53">
        <f t="shared" si="0"/>
        <v>7.4828079253761837E-2</v>
      </c>
      <c r="R7" s="31"/>
      <c r="S7" s="58"/>
    </row>
    <row r="8" spans="1:19" ht="14.4">
      <c r="A8" s="12" t="s">
        <v>30</v>
      </c>
      <c r="B8" s="12" t="s">
        <v>23</v>
      </c>
      <c r="C8" s="98">
        <v>45645</v>
      </c>
      <c r="D8" s="187" t="s">
        <v>24</v>
      </c>
      <c r="E8" s="187" t="s">
        <v>31</v>
      </c>
      <c r="F8" s="13">
        <v>4674</v>
      </c>
      <c r="G8" s="13">
        <v>409</v>
      </c>
      <c r="H8" s="13">
        <v>327</v>
      </c>
      <c r="I8" s="13">
        <v>20756</v>
      </c>
      <c r="J8" s="13">
        <v>63599</v>
      </c>
      <c r="K8" s="13">
        <v>212</v>
      </c>
      <c r="L8" s="12" t="s">
        <v>370</v>
      </c>
      <c r="M8" s="12" t="s">
        <v>38</v>
      </c>
      <c r="N8" s="12" t="s">
        <v>35</v>
      </c>
      <c r="O8" s="190" t="s">
        <v>17</v>
      </c>
      <c r="P8" s="30">
        <f t="shared" si="0"/>
        <v>0.26064752360763155</v>
      </c>
      <c r="R8" s="31"/>
      <c r="S8" s="58"/>
    </row>
    <row r="9" spans="1:19" ht="14.4">
      <c r="A9" s="12" t="s">
        <v>32</v>
      </c>
      <c r="B9" s="12" t="s">
        <v>23</v>
      </c>
      <c r="C9" s="98">
        <v>45421</v>
      </c>
      <c r="D9" s="187" t="s">
        <v>24</v>
      </c>
      <c r="E9" s="187" t="s">
        <v>353</v>
      </c>
      <c r="F9" s="13">
        <v>1428</v>
      </c>
      <c r="G9" s="13">
        <v>347</v>
      </c>
      <c r="H9" s="13">
        <v>67</v>
      </c>
      <c r="I9" s="13">
        <v>21148</v>
      </c>
      <c r="J9" s="13">
        <v>19712</v>
      </c>
      <c r="K9" s="13">
        <v>120</v>
      </c>
      <c r="L9" s="12" t="s">
        <v>373</v>
      </c>
      <c r="M9" s="12" t="s">
        <v>20</v>
      </c>
      <c r="N9" s="12" t="s">
        <v>351</v>
      </c>
      <c r="O9" s="190" t="s">
        <v>17</v>
      </c>
      <c r="P9" s="30">
        <f t="shared" si="0"/>
        <v>8.7100435029317191E-2</v>
      </c>
      <c r="R9" s="31"/>
      <c r="S9" s="58"/>
    </row>
    <row r="10" spans="1:19" ht="14.4">
      <c r="A10" s="12" t="s">
        <v>33</v>
      </c>
      <c r="B10" s="12" t="s">
        <v>23</v>
      </c>
      <c r="C10" s="98">
        <v>45823</v>
      </c>
      <c r="D10" s="187" t="s">
        <v>15</v>
      </c>
      <c r="E10" s="187" t="s">
        <v>34</v>
      </c>
      <c r="F10" s="13">
        <v>4432</v>
      </c>
      <c r="G10" s="13">
        <v>223</v>
      </c>
      <c r="H10" s="13">
        <v>299</v>
      </c>
      <c r="I10" s="13">
        <v>59016</v>
      </c>
      <c r="J10" s="13">
        <v>21742</v>
      </c>
      <c r="K10" s="13">
        <v>171</v>
      </c>
      <c r="L10" s="12" t="s">
        <v>35</v>
      </c>
      <c r="M10" s="12" t="s">
        <v>35</v>
      </c>
      <c r="N10" s="12"/>
      <c r="O10" s="190" t="s">
        <v>17</v>
      </c>
      <c r="P10" s="30">
        <f t="shared" si="0"/>
        <v>8.3943337400027115E-2</v>
      </c>
      <c r="R10" s="31"/>
      <c r="S10" s="58"/>
    </row>
    <row r="11" spans="1:19" ht="14.4">
      <c r="A11" s="12" t="s">
        <v>36</v>
      </c>
      <c r="B11" s="12" t="s">
        <v>23</v>
      </c>
      <c r="C11" s="98">
        <v>45630</v>
      </c>
      <c r="D11" s="187" t="s">
        <v>15</v>
      </c>
      <c r="E11" s="187" t="s">
        <v>353</v>
      </c>
      <c r="F11" s="13">
        <v>2357</v>
      </c>
      <c r="G11" s="13">
        <v>274</v>
      </c>
      <c r="H11" s="13">
        <v>172</v>
      </c>
      <c r="I11" s="13">
        <v>21566</v>
      </c>
      <c r="J11" s="13">
        <v>66829</v>
      </c>
      <c r="K11" s="13">
        <v>284</v>
      </c>
      <c r="L11" s="12" t="s">
        <v>35</v>
      </c>
      <c r="M11" s="12" t="s">
        <v>35</v>
      </c>
      <c r="N11" s="12"/>
      <c r="O11" s="190" t="s">
        <v>17</v>
      </c>
      <c r="P11" s="30">
        <f t="shared" si="0"/>
        <v>0.12997310581470833</v>
      </c>
      <c r="R11" s="31"/>
      <c r="S11" s="58"/>
    </row>
    <row r="12" spans="1:19" ht="14.4" hidden="1">
      <c r="A12" s="12" t="s">
        <v>37</v>
      </c>
      <c r="B12" s="12" t="s">
        <v>23</v>
      </c>
      <c r="C12" s="98">
        <v>45357</v>
      </c>
      <c r="D12" s="12" t="s">
        <v>15</v>
      </c>
      <c r="E12" s="12" t="s">
        <v>16</v>
      </c>
      <c r="F12" s="13">
        <v>1971</v>
      </c>
      <c r="G12" s="13">
        <v>370</v>
      </c>
      <c r="H12" s="13">
        <v>306</v>
      </c>
      <c r="I12" s="13">
        <v>31316</v>
      </c>
      <c r="J12" s="13">
        <v>27897</v>
      </c>
      <c r="K12" s="13">
        <v>88</v>
      </c>
      <c r="L12" s="12" t="s">
        <v>38</v>
      </c>
      <c r="M12" s="12" t="s">
        <v>38</v>
      </c>
      <c r="N12" s="12"/>
      <c r="O12" s="69" t="s">
        <v>21</v>
      </c>
      <c r="P12" s="53">
        <f t="shared" si="0"/>
        <v>8.4525482181632389E-2</v>
      </c>
      <c r="R12" s="31"/>
      <c r="S12" s="58"/>
    </row>
    <row r="13" spans="1:19" ht="14.4">
      <c r="A13" s="12" t="s">
        <v>39</v>
      </c>
      <c r="B13" s="12" t="s">
        <v>14</v>
      </c>
      <c r="C13" s="98">
        <v>45426</v>
      </c>
      <c r="D13" s="187" t="s">
        <v>15</v>
      </c>
      <c r="E13" s="187" t="s">
        <v>16</v>
      </c>
      <c r="F13" s="13">
        <v>1485</v>
      </c>
      <c r="G13" s="13">
        <v>353</v>
      </c>
      <c r="H13" s="13">
        <v>244</v>
      </c>
      <c r="I13" s="13">
        <v>38419</v>
      </c>
      <c r="J13" s="13">
        <v>38556</v>
      </c>
      <c r="K13" s="13">
        <v>86</v>
      </c>
      <c r="L13" s="12" t="s">
        <v>370</v>
      </c>
      <c r="M13" s="12" t="s">
        <v>38</v>
      </c>
      <c r="N13" s="12" t="s">
        <v>35</v>
      </c>
      <c r="O13" s="190" t="s">
        <v>17</v>
      </c>
      <c r="P13" s="30">
        <f t="shared" si="0"/>
        <v>5.4191936281527367E-2</v>
      </c>
      <c r="R13" s="31"/>
      <c r="S13" s="58"/>
    </row>
    <row r="14" spans="1:19" ht="14.4">
      <c r="A14" s="12" t="s">
        <v>40</v>
      </c>
      <c r="B14" s="12" t="s">
        <v>23</v>
      </c>
      <c r="C14" s="98">
        <v>45826</v>
      </c>
      <c r="D14" s="187" t="s">
        <v>24</v>
      </c>
      <c r="E14" s="187" t="s">
        <v>16</v>
      </c>
      <c r="F14" s="13">
        <v>3956</v>
      </c>
      <c r="G14" s="13">
        <v>319</v>
      </c>
      <c r="H14" s="13">
        <v>61</v>
      </c>
      <c r="I14" s="13">
        <v>58162</v>
      </c>
      <c r="J14" s="13">
        <v>28720</v>
      </c>
      <c r="K14" s="13">
        <v>213</v>
      </c>
      <c r="L14" s="12" t="s">
        <v>371</v>
      </c>
      <c r="M14" s="12" t="s">
        <v>351</v>
      </c>
      <c r="N14" s="12" t="s">
        <v>35</v>
      </c>
      <c r="O14" s="190" t="s">
        <v>17</v>
      </c>
      <c r="P14" s="30">
        <f t="shared" si="0"/>
        <v>7.4550393727863554E-2</v>
      </c>
      <c r="R14" s="31"/>
      <c r="S14" s="58"/>
    </row>
    <row r="15" spans="1:19" ht="14.4">
      <c r="A15" s="12" t="s">
        <v>41</v>
      </c>
      <c r="B15" s="12" t="s">
        <v>23</v>
      </c>
      <c r="C15" s="98">
        <v>45573</v>
      </c>
      <c r="D15" s="187" t="s">
        <v>15</v>
      </c>
      <c r="E15" s="187" t="s">
        <v>355</v>
      </c>
      <c r="F15" s="13">
        <v>2460</v>
      </c>
      <c r="G15" s="13">
        <v>409</v>
      </c>
      <c r="H15" s="13">
        <v>253</v>
      </c>
      <c r="I15" s="13">
        <v>36702</v>
      </c>
      <c r="J15" s="13">
        <v>46122</v>
      </c>
      <c r="K15" s="13">
        <v>264</v>
      </c>
      <c r="L15" s="12" t="s">
        <v>35</v>
      </c>
      <c r="M15" s="12" t="s">
        <v>35</v>
      </c>
      <c r="N15" s="12"/>
      <c r="O15" s="190" t="s">
        <v>17</v>
      </c>
      <c r="P15" s="30">
        <f t="shared" si="0"/>
        <v>8.5063484278785892E-2</v>
      </c>
      <c r="R15" s="31"/>
      <c r="S15" s="58"/>
    </row>
    <row r="16" spans="1:19" ht="14.4">
      <c r="A16" s="12" t="s">
        <v>42</v>
      </c>
      <c r="B16" s="12" t="s">
        <v>23</v>
      </c>
      <c r="C16" s="98">
        <v>45418</v>
      </c>
      <c r="D16" s="187" t="s">
        <v>15</v>
      </c>
      <c r="E16" s="187" t="s">
        <v>43</v>
      </c>
      <c r="F16" s="13">
        <v>3476</v>
      </c>
      <c r="G16" s="13">
        <v>355</v>
      </c>
      <c r="H16" s="13">
        <v>396</v>
      </c>
      <c r="I16" s="13">
        <v>37492</v>
      </c>
      <c r="J16" s="13">
        <v>27285</v>
      </c>
      <c r="K16" s="13">
        <v>179</v>
      </c>
      <c r="L16" s="12" t="s">
        <v>35</v>
      </c>
      <c r="M16" s="12" t="s">
        <v>35</v>
      </c>
      <c r="N16" s="12"/>
      <c r="O16" s="190" t="s">
        <v>17</v>
      </c>
      <c r="P16" s="30">
        <f t="shared" si="0"/>
        <v>0.11274405206444041</v>
      </c>
      <c r="R16" s="31"/>
      <c r="S16" s="58"/>
    </row>
    <row r="17" spans="1:19" ht="14.4">
      <c r="A17" s="12" t="s">
        <v>44</v>
      </c>
      <c r="B17" s="12" t="s">
        <v>23</v>
      </c>
      <c r="C17" s="98">
        <v>45655</v>
      </c>
      <c r="D17" s="187" t="s">
        <v>24</v>
      </c>
      <c r="E17" s="187" t="s">
        <v>25</v>
      </c>
      <c r="F17" s="13">
        <v>4049</v>
      </c>
      <c r="G17" s="13">
        <v>377</v>
      </c>
      <c r="H17" s="13">
        <v>94</v>
      </c>
      <c r="I17" s="13">
        <v>48182</v>
      </c>
      <c r="J17" s="13">
        <v>42875</v>
      </c>
      <c r="K17" s="13">
        <v>172</v>
      </c>
      <c r="L17" s="12" t="s">
        <v>371</v>
      </c>
      <c r="M17" s="12" t="s">
        <v>351</v>
      </c>
      <c r="N17" s="12" t="s">
        <v>35</v>
      </c>
      <c r="O17" s="190" t="s">
        <v>17</v>
      </c>
      <c r="P17" s="30">
        <f t="shared" si="0"/>
        <v>9.3810966751068869E-2</v>
      </c>
      <c r="R17" s="31"/>
      <c r="S17" s="58"/>
    </row>
    <row r="18" spans="1:19" ht="14.4">
      <c r="A18" s="12" t="s">
        <v>45</v>
      </c>
      <c r="B18" s="12" t="s">
        <v>23</v>
      </c>
      <c r="C18" s="98">
        <v>45453</v>
      </c>
      <c r="D18" s="187" t="s">
        <v>15</v>
      </c>
      <c r="E18" s="187" t="s">
        <v>354</v>
      </c>
      <c r="F18" s="13">
        <v>1514</v>
      </c>
      <c r="G18" s="13">
        <v>164</v>
      </c>
      <c r="H18" s="13">
        <v>275</v>
      </c>
      <c r="I18" s="13">
        <v>41364</v>
      </c>
      <c r="J18" s="13">
        <v>44389</v>
      </c>
      <c r="K18" s="13">
        <v>83</v>
      </c>
      <c r="L18" s="12" t="s">
        <v>35</v>
      </c>
      <c r="M18" s="12" t="s">
        <v>35</v>
      </c>
      <c r="N18" s="12"/>
      <c r="O18" s="190" t="s">
        <v>17</v>
      </c>
      <c r="P18" s="30">
        <f t="shared" si="0"/>
        <v>4.7214969538729328E-2</v>
      </c>
      <c r="R18" s="31"/>
      <c r="S18" s="58"/>
    </row>
    <row r="19" spans="1:19" ht="14.4" hidden="1">
      <c r="A19" s="12" t="s">
        <v>46</v>
      </c>
      <c r="B19" s="12" t="s">
        <v>14</v>
      </c>
      <c r="C19" s="98">
        <v>45325</v>
      </c>
      <c r="D19" s="12" t="s">
        <v>24</v>
      </c>
      <c r="E19" s="12" t="s">
        <v>356</v>
      </c>
      <c r="F19" s="13">
        <v>4281</v>
      </c>
      <c r="G19" s="13">
        <v>101</v>
      </c>
      <c r="H19" s="13">
        <v>163</v>
      </c>
      <c r="I19" s="13">
        <v>32278</v>
      </c>
      <c r="J19" s="13">
        <v>53382</v>
      </c>
      <c r="K19" s="13">
        <v>235</v>
      </c>
      <c r="L19" s="12" t="s">
        <v>35</v>
      </c>
      <c r="M19" s="12" t="s">
        <v>35</v>
      </c>
      <c r="N19" s="12"/>
      <c r="O19" s="69" t="s">
        <v>47</v>
      </c>
      <c r="P19" s="53">
        <f t="shared" si="0"/>
        <v>0.1408079806679472</v>
      </c>
      <c r="R19" s="31"/>
      <c r="S19" s="58"/>
    </row>
    <row r="20" spans="1:19" ht="14.4" hidden="1">
      <c r="A20" s="12" t="s">
        <v>48</v>
      </c>
      <c r="B20" s="12" t="s">
        <v>28</v>
      </c>
      <c r="C20" s="98">
        <v>45458</v>
      </c>
      <c r="D20" s="12" t="s">
        <v>49</v>
      </c>
      <c r="E20" s="12" t="s">
        <v>31</v>
      </c>
      <c r="F20" s="13">
        <v>1751</v>
      </c>
      <c r="G20" s="13">
        <v>143</v>
      </c>
      <c r="H20" s="13">
        <v>151</v>
      </c>
      <c r="I20" s="13">
        <v>31826</v>
      </c>
      <c r="J20" s="13">
        <v>47729</v>
      </c>
      <c r="K20" s="13">
        <v>95</v>
      </c>
      <c r="L20" s="12" t="s">
        <v>374</v>
      </c>
      <c r="M20" s="12" t="s">
        <v>20</v>
      </c>
      <c r="N20" s="12" t="s">
        <v>38</v>
      </c>
      <c r="O20" s="69" t="s">
        <v>50</v>
      </c>
      <c r="P20" s="53">
        <f t="shared" si="0"/>
        <v>6.4255640042732362E-2</v>
      </c>
      <c r="Q20" s="95"/>
      <c r="R20" s="96"/>
      <c r="S20" s="53"/>
    </row>
    <row r="21" spans="1:19" ht="15.75" hidden="1" customHeight="1">
      <c r="A21" s="12" t="s">
        <v>51</v>
      </c>
      <c r="B21" s="12" t="s">
        <v>14</v>
      </c>
      <c r="C21" s="98">
        <v>45478</v>
      </c>
      <c r="D21" s="12" t="s">
        <v>15</v>
      </c>
      <c r="E21" s="12" t="s">
        <v>43</v>
      </c>
      <c r="F21" s="13">
        <v>3753</v>
      </c>
      <c r="G21" s="13">
        <v>411</v>
      </c>
      <c r="H21" s="13">
        <v>308</v>
      </c>
      <c r="I21" s="13">
        <v>29138</v>
      </c>
      <c r="J21" s="13">
        <v>27678</v>
      </c>
      <c r="K21" s="13">
        <v>90</v>
      </c>
      <c r="L21" s="12" t="s">
        <v>20</v>
      </c>
      <c r="M21" s="12" t="s">
        <v>20</v>
      </c>
      <c r="N21" s="12"/>
      <c r="O21" s="69" t="s">
        <v>21</v>
      </c>
      <c r="P21" s="53">
        <f t="shared" si="0"/>
        <v>0.15347655981879332</v>
      </c>
      <c r="Q21" s="91"/>
      <c r="R21" s="69"/>
      <c r="S21" s="58"/>
    </row>
    <row r="22" spans="1:19" ht="15.75" hidden="1" customHeight="1">
      <c r="A22" s="12" t="s">
        <v>52</v>
      </c>
      <c r="B22" s="12" t="s">
        <v>14</v>
      </c>
      <c r="C22" s="98">
        <v>45603</v>
      </c>
      <c r="D22" s="12" t="s">
        <v>24</v>
      </c>
      <c r="E22" s="12" t="s">
        <v>353</v>
      </c>
      <c r="F22" s="13">
        <v>1678</v>
      </c>
      <c r="G22" s="13">
        <v>423</v>
      </c>
      <c r="H22" s="13">
        <v>323</v>
      </c>
      <c r="I22" s="13">
        <v>55668</v>
      </c>
      <c r="J22" s="13">
        <v>37945</v>
      </c>
      <c r="K22" s="13">
        <v>230</v>
      </c>
      <c r="L22" s="12" t="s">
        <v>35</v>
      </c>
      <c r="M22" s="12" t="s">
        <v>35</v>
      </c>
      <c r="N22" s="12"/>
      <c r="O22" s="69" t="s">
        <v>47</v>
      </c>
      <c r="P22" s="53">
        <f t="shared" si="0"/>
        <v>4.3543867212761371E-2</v>
      </c>
      <c r="R22" s="31"/>
      <c r="S22" s="58"/>
    </row>
    <row r="23" spans="1:19" ht="15.75" customHeight="1">
      <c r="A23" s="12" t="s">
        <v>53</v>
      </c>
      <c r="B23" s="12" t="s">
        <v>14</v>
      </c>
      <c r="C23" s="98">
        <v>45823</v>
      </c>
      <c r="D23" s="187" t="s">
        <v>15</v>
      </c>
      <c r="E23" s="187" t="s">
        <v>354</v>
      </c>
      <c r="F23" s="13">
        <v>4896</v>
      </c>
      <c r="G23" s="13">
        <v>466</v>
      </c>
      <c r="H23" s="13">
        <v>233</v>
      </c>
      <c r="I23" s="13">
        <v>28621</v>
      </c>
      <c r="J23" s="13">
        <v>34270</v>
      </c>
      <c r="K23" s="13">
        <v>84</v>
      </c>
      <c r="L23" s="12" t="s">
        <v>370</v>
      </c>
      <c r="M23" s="12" t="s">
        <v>38</v>
      </c>
      <c r="N23" s="12" t="s">
        <v>35</v>
      </c>
      <c r="O23" s="190" t="s">
        <v>17</v>
      </c>
      <c r="P23" s="30">
        <f t="shared" si="0"/>
        <v>0.19548583208133888</v>
      </c>
      <c r="R23" s="31"/>
      <c r="S23" s="58"/>
    </row>
    <row r="24" spans="1:19" ht="15.75" hidden="1" customHeight="1">
      <c r="A24" s="12" t="s">
        <v>54</v>
      </c>
      <c r="B24" s="12" t="s">
        <v>28</v>
      </c>
      <c r="C24" s="98">
        <v>45452</v>
      </c>
      <c r="D24" s="12" t="s">
        <v>49</v>
      </c>
      <c r="E24" s="12" t="s">
        <v>355</v>
      </c>
      <c r="F24" s="13">
        <v>2786</v>
      </c>
      <c r="G24" s="13">
        <v>368</v>
      </c>
      <c r="H24" s="13">
        <v>208</v>
      </c>
      <c r="I24" s="13">
        <v>42000</v>
      </c>
      <c r="J24" s="13">
        <v>39967</v>
      </c>
      <c r="K24" s="13">
        <v>103</v>
      </c>
      <c r="L24" s="12" t="s">
        <v>374</v>
      </c>
      <c r="M24" s="12" t="s">
        <v>20</v>
      </c>
      <c r="N24" s="12" t="s">
        <v>38</v>
      </c>
      <c r="O24" s="69" t="s">
        <v>50</v>
      </c>
      <c r="P24" s="53">
        <f t="shared" si="0"/>
        <v>8.0047619047619048E-2</v>
      </c>
      <c r="R24" s="31"/>
      <c r="S24" s="58"/>
    </row>
    <row r="25" spans="1:19" ht="15.75" hidden="1" customHeight="1">
      <c r="A25" s="12" t="s">
        <v>55</v>
      </c>
      <c r="B25" s="12" t="s">
        <v>23</v>
      </c>
      <c r="C25" s="98">
        <v>45583</v>
      </c>
      <c r="D25" s="12" t="s">
        <v>15</v>
      </c>
      <c r="E25" s="12" t="s">
        <v>25</v>
      </c>
      <c r="F25" s="13">
        <v>2607</v>
      </c>
      <c r="G25" s="13">
        <v>379</v>
      </c>
      <c r="H25" s="13">
        <v>180</v>
      </c>
      <c r="I25" s="13">
        <v>28712</v>
      </c>
      <c r="J25" s="13">
        <v>61620</v>
      </c>
      <c r="K25" s="13">
        <v>174</v>
      </c>
      <c r="L25" s="12" t="s">
        <v>38</v>
      </c>
      <c r="M25" s="12" t="s">
        <v>38</v>
      </c>
      <c r="N25" s="12"/>
      <c r="O25" s="69" t="s">
        <v>21</v>
      </c>
      <c r="P25" s="53">
        <f t="shared" si="0"/>
        <v>0.11026748397882419</v>
      </c>
      <c r="R25" s="31"/>
      <c r="S25" s="58"/>
    </row>
    <row r="26" spans="1:19" ht="15.75" hidden="1" customHeight="1">
      <c r="A26" s="12" t="s">
        <v>56</v>
      </c>
      <c r="B26" s="12" t="s">
        <v>28</v>
      </c>
      <c r="C26" s="98">
        <v>45575</v>
      </c>
      <c r="D26" s="12" t="s">
        <v>49</v>
      </c>
      <c r="E26" s="12" t="s">
        <v>355</v>
      </c>
      <c r="F26" s="13">
        <v>4013</v>
      </c>
      <c r="G26" s="13">
        <v>320</v>
      </c>
      <c r="H26" s="13">
        <v>92</v>
      </c>
      <c r="I26" s="13">
        <v>54605</v>
      </c>
      <c r="J26" s="13">
        <v>60169</v>
      </c>
      <c r="K26" s="13">
        <v>232</v>
      </c>
      <c r="L26" s="12" t="s">
        <v>374</v>
      </c>
      <c r="M26" s="12" t="s">
        <v>20</v>
      </c>
      <c r="N26" s="12" t="s">
        <v>38</v>
      </c>
      <c r="O26" s="69" t="s">
        <v>50</v>
      </c>
      <c r="P26" s="53">
        <f t="shared" si="0"/>
        <v>8.1036535115831879E-2</v>
      </c>
      <c r="R26" s="31"/>
      <c r="S26" s="58"/>
    </row>
    <row r="27" spans="1:19" ht="15.75" customHeight="1">
      <c r="A27" s="12" t="s">
        <v>57</v>
      </c>
      <c r="B27" s="12" t="s">
        <v>23</v>
      </c>
      <c r="C27" s="98">
        <v>45791</v>
      </c>
      <c r="D27" s="187" t="s">
        <v>24</v>
      </c>
      <c r="E27" s="187" t="s">
        <v>355</v>
      </c>
      <c r="F27" s="13">
        <v>2707</v>
      </c>
      <c r="G27" s="13">
        <v>103</v>
      </c>
      <c r="H27" s="13">
        <v>51</v>
      </c>
      <c r="I27" s="13">
        <v>55302</v>
      </c>
      <c r="J27" s="13">
        <v>18801</v>
      </c>
      <c r="K27" s="13">
        <v>147</v>
      </c>
      <c r="L27" s="12" t="s">
        <v>373</v>
      </c>
      <c r="M27" s="12" t="s">
        <v>20</v>
      </c>
      <c r="N27" s="12" t="s">
        <v>351</v>
      </c>
      <c r="O27" s="190" t="s">
        <v>17</v>
      </c>
      <c r="P27" s="30">
        <f t="shared" si="0"/>
        <v>5.173411449857148E-2</v>
      </c>
      <c r="R27" s="31"/>
      <c r="S27" s="58"/>
    </row>
    <row r="28" spans="1:19" ht="15.75" customHeight="1">
      <c r="A28" s="12" t="s">
        <v>58</v>
      </c>
      <c r="B28" s="12" t="s">
        <v>14</v>
      </c>
      <c r="C28" s="98">
        <v>45625</v>
      </c>
      <c r="D28" s="187" t="s">
        <v>15</v>
      </c>
      <c r="E28" s="187" t="s">
        <v>354</v>
      </c>
      <c r="F28" s="13">
        <v>2824</v>
      </c>
      <c r="G28" s="13">
        <v>425</v>
      </c>
      <c r="H28" s="13">
        <v>274</v>
      </c>
      <c r="I28" s="13">
        <v>31004</v>
      </c>
      <c r="J28" s="13">
        <v>53488</v>
      </c>
      <c r="K28" s="13">
        <v>268</v>
      </c>
      <c r="L28" s="12" t="s">
        <v>370</v>
      </c>
      <c r="M28" s="12" t="s">
        <v>38</v>
      </c>
      <c r="N28" s="12" t="s">
        <v>35</v>
      </c>
      <c r="O28" s="190" t="s">
        <v>17</v>
      </c>
      <c r="P28" s="30">
        <f t="shared" si="0"/>
        <v>0.11363049929041415</v>
      </c>
      <c r="R28" s="31"/>
      <c r="S28" s="58"/>
    </row>
    <row r="29" spans="1:19" ht="15.75" hidden="1" customHeight="1">
      <c r="A29" s="12" t="s">
        <v>59</v>
      </c>
      <c r="B29" s="12" t="s">
        <v>28</v>
      </c>
      <c r="C29" s="98">
        <v>45356</v>
      </c>
      <c r="D29" s="12" t="s">
        <v>49</v>
      </c>
      <c r="E29" s="12" t="s">
        <v>19</v>
      </c>
      <c r="F29" s="13">
        <v>3558</v>
      </c>
      <c r="G29" s="13">
        <v>314</v>
      </c>
      <c r="H29" s="13">
        <v>199</v>
      </c>
      <c r="I29" s="13">
        <v>49612</v>
      </c>
      <c r="J29" s="13">
        <v>53929</v>
      </c>
      <c r="K29" s="13">
        <v>206</v>
      </c>
      <c r="L29" s="12" t="s">
        <v>374</v>
      </c>
      <c r="M29" s="12" t="s">
        <v>20</v>
      </c>
      <c r="N29" s="12" t="s">
        <v>38</v>
      </c>
      <c r="O29" s="69" t="s">
        <v>50</v>
      </c>
      <c r="P29" s="53">
        <f t="shared" si="0"/>
        <v>8.205676046117874E-2</v>
      </c>
      <c r="R29" s="31"/>
      <c r="S29" s="58"/>
    </row>
    <row r="30" spans="1:19" ht="15.75" customHeight="1">
      <c r="A30" s="12" t="s">
        <v>60</v>
      </c>
      <c r="B30" s="12" t="s">
        <v>23</v>
      </c>
      <c r="C30" s="98">
        <v>45734</v>
      </c>
      <c r="D30" s="187" t="s">
        <v>24</v>
      </c>
      <c r="E30" s="187" t="s">
        <v>19</v>
      </c>
      <c r="F30" s="13">
        <v>3418</v>
      </c>
      <c r="G30" s="13">
        <v>188</v>
      </c>
      <c r="H30" s="13">
        <v>387</v>
      </c>
      <c r="I30" s="13">
        <v>57431</v>
      </c>
      <c r="J30" s="13">
        <v>36933</v>
      </c>
      <c r="K30" s="13">
        <v>202</v>
      </c>
      <c r="L30" s="12" t="s">
        <v>371</v>
      </c>
      <c r="M30" s="12" t="s">
        <v>351</v>
      </c>
      <c r="N30" s="12" t="s">
        <v>35</v>
      </c>
      <c r="O30" s="190" t="s">
        <v>17</v>
      </c>
      <c r="P30" s="30">
        <f t="shared" si="0"/>
        <v>6.9526910553533799E-2</v>
      </c>
      <c r="R30" s="31"/>
      <c r="S30" s="58"/>
    </row>
    <row r="31" spans="1:19" ht="15.75" customHeight="1">
      <c r="A31" s="12" t="s">
        <v>61</v>
      </c>
      <c r="B31" s="12" t="s">
        <v>23</v>
      </c>
      <c r="C31" s="98">
        <v>45773</v>
      </c>
      <c r="D31" s="187" t="s">
        <v>15</v>
      </c>
      <c r="E31" s="187" t="s">
        <v>16</v>
      </c>
      <c r="F31" s="13">
        <v>2411</v>
      </c>
      <c r="G31" s="13">
        <v>194</v>
      </c>
      <c r="H31" s="13">
        <v>168</v>
      </c>
      <c r="I31" s="13">
        <v>26665</v>
      </c>
      <c r="J31" s="13">
        <v>71699</v>
      </c>
      <c r="K31" s="13">
        <v>197</v>
      </c>
      <c r="L31" s="12" t="s">
        <v>35</v>
      </c>
      <c r="M31" s="12" t="s">
        <v>35</v>
      </c>
      <c r="N31" s="12"/>
      <c r="O31" s="190" t="s">
        <v>17</v>
      </c>
      <c r="P31" s="30">
        <f t="shared" si="0"/>
        <v>0.10399399962497656</v>
      </c>
      <c r="R31" s="31"/>
      <c r="S31" s="58"/>
    </row>
    <row r="32" spans="1:19" ht="15.75" customHeight="1">
      <c r="A32" s="12" t="s">
        <v>62</v>
      </c>
      <c r="B32" s="12" t="s">
        <v>14</v>
      </c>
      <c r="C32" s="98">
        <v>45658</v>
      </c>
      <c r="D32" s="187" t="s">
        <v>15</v>
      </c>
      <c r="E32" s="187" t="s">
        <v>25</v>
      </c>
      <c r="F32" s="13">
        <v>4036</v>
      </c>
      <c r="G32" s="13">
        <v>112</v>
      </c>
      <c r="H32" s="13">
        <v>382</v>
      </c>
      <c r="I32" s="13">
        <v>56284</v>
      </c>
      <c r="J32" s="13">
        <v>29440</v>
      </c>
      <c r="K32" s="13">
        <v>279</v>
      </c>
      <c r="L32" s="12" t="s">
        <v>370</v>
      </c>
      <c r="M32" s="12" t="s">
        <v>38</v>
      </c>
      <c r="N32" s="12" t="s">
        <v>35</v>
      </c>
      <c r="O32" s="190" t="s">
        <v>17</v>
      </c>
      <c r="P32" s="30">
        <f t="shared" si="0"/>
        <v>8.0484684812735408E-2</v>
      </c>
      <c r="R32" s="31"/>
      <c r="S32" s="58"/>
    </row>
    <row r="33" spans="1:18" s="58" customFormat="1" ht="15.75" customHeight="1">
      <c r="A33" s="12" t="s">
        <v>63</v>
      </c>
      <c r="B33" s="12" t="s">
        <v>23</v>
      </c>
      <c r="C33" s="98">
        <v>45419</v>
      </c>
      <c r="D33" s="187" t="s">
        <v>24</v>
      </c>
      <c r="E33" s="187" t="s">
        <v>19</v>
      </c>
      <c r="F33" s="13">
        <v>2776</v>
      </c>
      <c r="G33" s="13">
        <v>307</v>
      </c>
      <c r="H33" s="13">
        <v>178</v>
      </c>
      <c r="I33" s="13">
        <v>43365</v>
      </c>
      <c r="J33" s="13">
        <v>48408</v>
      </c>
      <c r="K33" s="13">
        <v>138</v>
      </c>
      <c r="L33" s="12" t="s">
        <v>370</v>
      </c>
      <c r="M33" s="12" t="s">
        <v>38</v>
      </c>
      <c r="N33" s="12" t="s">
        <v>35</v>
      </c>
      <c r="O33" s="190" t="s">
        <v>17</v>
      </c>
      <c r="P33" s="30">
        <f t="shared" si="0"/>
        <v>7.519889311656866E-2</v>
      </c>
      <c r="Q33" s="31"/>
      <c r="R33" s="31"/>
    </row>
    <row r="34" spans="1:18" s="58" customFormat="1" ht="15.75" customHeight="1">
      <c r="A34" s="12" t="s">
        <v>64</v>
      </c>
      <c r="B34" s="12" t="s">
        <v>23</v>
      </c>
      <c r="C34" s="98">
        <v>45574</v>
      </c>
      <c r="D34" s="187" t="s">
        <v>24</v>
      </c>
      <c r="E34" s="187" t="s">
        <v>16</v>
      </c>
      <c r="F34" s="13">
        <v>4929</v>
      </c>
      <c r="G34" s="13">
        <v>182</v>
      </c>
      <c r="H34" s="13">
        <v>95</v>
      </c>
      <c r="I34" s="13">
        <v>32181</v>
      </c>
      <c r="J34" s="13">
        <v>31084</v>
      </c>
      <c r="K34" s="13">
        <v>289</v>
      </c>
      <c r="L34" s="12" t="s">
        <v>373</v>
      </c>
      <c r="M34" s="12" t="s">
        <v>20</v>
      </c>
      <c r="N34" s="12" t="s">
        <v>351</v>
      </c>
      <c r="O34" s="190" t="s">
        <v>17</v>
      </c>
      <c r="P34" s="30">
        <f t="shared" si="0"/>
        <v>0.16177247444144061</v>
      </c>
      <c r="Q34" s="31"/>
      <c r="R34" s="31"/>
    </row>
    <row r="35" spans="1:18" s="58" customFormat="1" ht="15.75" customHeight="1">
      <c r="A35" s="12" t="s">
        <v>65</v>
      </c>
      <c r="B35" s="12" t="s">
        <v>14</v>
      </c>
      <c r="C35" s="98">
        <v>45666</v>
      </c>
      <c r="D35" s="187" t="s">
        <v>15</v>
      </c>
      <c r="E35" s="187" t="s">
        <v>25</v>
      </c>
      <c r="F35" s="13">
        <v>1015</v>
      </c>
      <c r="G35" s="13">
        <v>366</v>
      </c>
      <c r="H35" s="13">
        <v>308</v>
      </c>
      <c r="I35" s="13">
        <v>38127</v>
      </c>
      <c r="J35" s="13">
        <v>63790</v>
      </c>
      <c r="K35" s="13">
        <v>287</v>
      </c>
      <c r="L35" s="12" t="s">
        <v>370</v>
      </c>
      <c r="M35" s="12" t="s">
        <v>38</v>
      </c>
      <c r="N35" s="12" t="s">
        <v>35</v>
      </c>
      <c r="O35" s="190" t="s">
        <v>17</v>
      </c>
      <c r="P35" s="30">
        <f t="shared" si="0"/>
        <v>4.4299315445747112E-2</v>
      </c>
      <c r="Q35" s="31"/>
      <c r="R35" s="31"/>
    </row>
    <row r="36" spans="1:18" s="58" customFormat="1" ht="15.75" customHeight="1">
      <c r="A36" s="12" t="s">
        <v>66</v>
      </c>
      <c r="B36" s="12" t="s">
        <v>23</v>
      </c>
      <c r="C36" s="98">
        <v>45785</v>
      </c>
      <c r="D36" s="187" t="s">
        <v>24</v>
      </c>
      <c r="E36" s="187" t="s">
        <v>43</v>
      </c>
      <c r="F36" s="13">
        <v>3316</v>
      </c>
      <c r="G36" s="13">
        <v>332</v>
      </c>
      <c r="H36" s="13">
        <v>268</v>
      </c>
      <c r="I36" s="13">
        <v>40095</v>
      </c>
      <c r="J36" s="13">
        <v>36913</v>
      </c>
      <c r="K36" s="13">
        <v>265</v>
      </c>
      <c r="L36" s="12" t="s">
        <v>371</v>
      </c>
      <c r="M36" s="12" t="s">
        <v>351</v>
      </c>
      <c r="N36" s="12" t="s">
        <v>35</v>
      </c>
      <c r="O36" s="190" t="s">
        <v>17</v>
      </c>
      <c r="P36" s="30">
        <f t="shared" si="0"/>
        <v>9.7668038408779148E-2</v>
      </c>
      <c r="Q36" s="31"/>
      <c r="R36" s="31"/>
    </row>
    <row r="37" spans="1:18" s="58" customFormat="1" ht="15.75" hidden="1" customHeight="1">
      <c r="A37" s="12" t="s">
        <v>67</v>
      </c>
      <c r="B37" s="12" t="s">
        <v>14</v>
      </c>
      <c r="C37" s="98">
        <v>45416</v>
      </c>
      <c r="D37" s="12" t="s">
        <v>15</v>
      </c>
      <c r="E37" s="12" t="s">
        <v>353</v>
      </c>
      <c r="F37" s="13">
        <v>2274</v>
      </c>
      <c r="G37" s="13">
        <v>243</v>
      </c>
      <c r="H37" s="13">
        <v>222</v>
      </c>
      <c r="I37" s="13">
        <v>43066</v>
      </c>
      <c r="J37" s="13">
        <v>59174</v>
      </c>
      <c r="K37" s="13">
        <v>80</v>
      </c>
      <c r="L37" s="12" t="s">
        <v>20</v>
      </c>
      <c r="M37" s="12" t="s">
        <v>20</v>
      </c>
      <c r="N37" s="12"/>
      <c r="O37" s="69" t="s">
        <v>21</v>
      </c>
      <c r="P37" s="53">
        <f t="shared" si="0"/>
        <v>6.3600055728416843E-2</v>
      </c>
      <c r="Q37" s="31"/>
      <c r="R37" s="31"/>
    </row>
    <row r="38" spans="1:18" s="58" customFormat="1" ht="15.75" customHeight="1">
      <c r="A38" s="12" t="s">
        <v>68</v>
      </c>
      <c r="B38" s="12" t="s">
        <v>23</v>
      </c>
      <c r="C38" s="98">
        <v>45804</v>
      </c>
      <c r="D38" s="187" t="s">
        <v>24</v>
      </c>
      <c r="E38" s="187" t="s">
        <v>19</v>
      </c>
      <c r="F38" s="13">
        <v>4095</v>
      </c>
      <c r="G38" s="13">
        <v>385</v>
      </c>
      <c r="H38" s="13">
        <v>400</v>
      </c>
      <c r="I38" s="13">
        <v>45300</v>
      </c>
      <c r="J38" s="13">
        <v>31795</v>
      </c>
      <c r="K38" s="13">
        <v>80</v>
      </c>
      <c r="L38" s="12" t="s">
        <v>371</v>
      </c>
      <c r="M38" s="12" t="s">
        <v>351</v>
      </c>
      <c r="N38" s="12" t="s">
        <v>35</v>
      </c>
      <c r="O38" s="190" t="s">
        <v>17</v>
      </c>
      <c r="P38" s="30">
        <f t="shared" si="0"/>
        <v>0.10772626931567329</v>
      </c>
      <c r="Q38" s="31"/>
      <c r="R38" s="31"/>
    </row>
    <row r="39" spans="1:18" s="58" customFormat="1" ht="15.75" hidden="1" customHeight="1">
      <c r="A39" s="12" t="s">
        <v>69</v>
      </c>
      <c r="B39" s="12" t="s">
        <v>14</v>
      </c>
      <c r="C39" s="98">
        <v>45545</v>
      </c>
      <c r="D39" s="12" t="s">
        <v>24</v>
      </c>
      <c r="E39" s="12" t="s">
        <v>25</v>
      </c>
      <c r="F39" s="13">
        <v>1230</v>
      </c>
      <c r="G39" s="13">
        <v>309</v>
      </c>
      <c r="H39" s="13">
        <v>207</v>
      </c>
      <c r="I39" s="13">
        <v>44629</v>
      </c>
      <c r="J39" s="13">
        <v>40699</v>
      </c>
      <c r="K39" s="13">
        <v>195</v>
      </c>
      <c r="L39" s="12" t="s">
        <v>35</v>
      </c>
      <c r="M39" s="12" t="s">
        <v>35</v>
      </c>
      <c r="N39" s="12"/>
      <c r="O39" s="69" t="s">
        <v>47</v>
      </c>
      <c r="P39" s="53">
        <f t="shared" si="0"/>
        <v>3.9122543637545096E-2</v>
      </c>
      <c r="Q39" s="31"/>
      <c r="R39" s="31"/>
    </row>
    <row r="40" spans="1:18" s="58" customFormat="1" ht="15.75" hidden="1" customHeight="1">
      <c r="A40" s="12" t="s">
        <v>70</v>
      </c>
      <c r="B40" s="12" t="s">
        <v>14</v>
      </c>
      <c r="C40" s="98">
        <v>45621</v>
      </c>
      <c r="D40" s="12" t="s">
        <v>15</v>
      </c>
      <c r="E40" s="12" t="s">
        <v>355</v>
      </c>
      <c r="F40" s="13">
        <v>1341</v>
      </c>
      <c r="G40" s="13">
        <v>472</v>
      </c>
      <c r="H40" s="13">
        <v>238</v>
      </c>
      <c r="I40" s="13">
        <v>51386</v>
      </c>
      <c r="J40" s="13">
        <v>51706</v>
      </c>
      <c r="K40" s="13">
        <v>133</v>
      </c>
      <c r="L40" s="12" t="s">
        <v>20</v>
      </c>
      <c r="M40" s="12" t="s">
        <v>20</v>
      </c>
      <c r="N40" s="12"/>
      <c r="O40" s="69" t="s">
        <v>21</v>
      </c>
      <c r="P40" s="53">
        <f t="shared" si="0"/>
        <v>3.9913595142645857E-2</v>
      </c>
      <c r="Q40" s="31"/>
      <c r="R40" s="31"/>
    </row>
    <row r="41" spans="1:18" s="58" customFormat="1" ht="15.75" customHeight="1">
      <c r="A41" s="12" t="s">
        <v>71</v>
      </c>
      <c r="B41" s="12" t="s">
        <v>23</v>
      </c>
      <c r="C41" s="98">
        <v>45818</v>
      </c>
      <c r="D41" s="187" t="s">
        <v>15</v>
      </c>
      <c r="E41" s="187" t="s">
        <v>19</v>
      </c>
      <c r="F41" s="13">
        <v>3615</v>
      </c>
      <c r="G41" s="13">
        <v>192</v>
      </c>
      <c r="H41" s="13">
        <v>162</v>
      </c>
      <c r="I41" s="13">
        <v>27492</v>
      </c>
      <c r="J41" s="13">
        <v>35341</v>
      </c>
      <c r="K41" s="13">
        <v>125</v>
      </c>
      <c r="L41" s="12" t="s">
        <v>35</v>
      </c>
      <c r="M41" s="12" t="s">
        <v>35</v>
      </c>
      <c r="N41" s="12"/>
      <c r="O41" s="190" t="s">
        <v>17</v>
      </c>
      <c r="P41" s="30">
        <f t="shared" si="0"/>
        <v>0.14436927106067218</v>
      </c>
      <c r="Q41" s="31"/>
      <c r="R41" s="31"/>
    </row>
    <row r="42" spans="1:18" s="58" customFormat="1" ht="15.75" customHeight="1">
      <c r="A42" s="12" t="s">
        <v>72</v>
      </c>
      <c r="B42" s="12" t="s">
        <v>14</v>
      </c>
      <c r="C42" s="98">
        <v>45401</v>
      </c>
      <c r="D42" s="187" t="s">
        <v>15</v>
      </c>
      <c r="E42" s="187" t="s">
        <v>25</v>
      </c>
      <c r="F42" s="13">
        <v>4001</v>
      </c>
      <c r="G42" s="13">
        <v>353</v>
      </c>
      <c r="H42" s="13">
        <v>129</v>
      </c>
      <c r="I42" s="13">
        <v>41265</v>
      </c>
      <c r="J42" s="13">
        <v>37279</v>
      </c>
      <c r="K42" s="13">
        <v>275</v>
      </c>
      <c r="L42" s="12" t="s">
        <v>370</v>
      </c>
      <c r="M42" s="12" t="s">
        <v>38</v>
      </c>
      <c r="N42" s="12" t="s">
        <v>35</v>
      </c>
      <c r="O42" s="190" t="s">
        <v>17</v>
      </c>
      <c r="P42" s="30">
        <f t="shared" si="0"/>
        <v>0.10863928268508422</v>
      </c>
      <c r="Q42" s="31"/>
      <c r="R42" s="31"/>
    </row>
    <row r="43" spans="1:18" s="58" customFormat="1" ht="15.75" hidden="1" customHeight="1">
      <c r="A43" s="12" t="s">
        <v>73</v>
      </c>
      <c r="B43" s="12" t="s">
        <v>14</v>
      </c>
      <c r="C43" s="98">
        <v>45683</v>
      </c>
      <c r="D43" s="12" t="s">
        <v>24</v>
      </c>
      <c r="E43" s="12" t="s">
        <v>354</v>
      </c>
      <c r="F43" s="13">
        <v>3451</v>
      </c>
      <c r="G43" s="13">
        <v>363</v>
      </c>
      <c r="H43" s="13">
        <v>393</v>
      </c>
      <c r="I43" s="13">
        <v>44853</v>
      </c>
      <c r="J43" s="13">
        <v>69032</v>
      </c>
      <c r="K43" s="13">
        <v>211</v>
      </c>
      <c r="L43" s="12" t="s">
        <v>35</v>
      </c>
      <c r="M43" s="12" t="s">
        <v>35</v>
      </c>
      <c r="N43" s="12"/>
      <c r="O43" s="69" t="s">
        <v>47</v>
      </c>
      <c r="P43" s="53">
        <f t="shared" si="0"/>
        <v>9.379528682585335E-2</v>
      </c>
      <c r="Q43" s="31"/>
      <c r="R43" s="31"/>
    </row>
    <row r="44" spans="1:18" s="58" customFormat="1" ht="15.75" customHeight="1">
      <c r="A44" s="12" t="s">
        <v>74</v>
      </c>
      <c r="B44" s="12" t="s">
        <v>14</v>
      </c>
      <c r="C44" s="98">
        <v>45702</v>
      </c>
      <c r="D44" s="187" t="s">
        <v>15</v>
      </c>
      <c r="E44" s="187" t="s">
        <v>34</v>
      </c>
      <c r="F44" s="13">
        <v>4891</v>
      </c>
      <c r="G44" s="13">
        <v>450</v>
      </c>
      <c r="H44" s="13">
        <v>387</v>
      </c>
      <c r="I44" s="13">
        <v>48746</v>
      </c>
      <c r="J44" s="13">
        <v>37312</v>
      </c>
      <c r="K44" s="13">
        <v>154</v>
      </c>
      <c r="L44" s="12" t="s">
        <v>370</v>
      </c>
      <c r="M44" s="12" t="s">
        <v>38</v>
      </c>
      <c r="N44" s="12" t="s">
        <v>35</v>
      </c>
      <c r="O44" s="190" t="s">
        <v>17</v>
      </c>
      <c r="P44" s="30">
        <f t="shared" si="0"/>
        <v>0.11750707750379519</v>
      </c>
      <c r="Q44" s="31"/>
      <c r="R44" s="31"/>
    </row>
    <row r="45" spans="1:18" s="58" customFormat="1" ht="15.75" hidden="1" customHeight="1">
      <c r="A45" s="12" t="s">
        <v>75</v>
      </c>
      <c r="B45" s="12" t="s">
        <v>14</v>
      </c>
      <c r="C45" s="98">
        <v>45541</v>
      </c>
      <c r="D45" s="12" t="s">
        <v>15</v>
      </c>
      <c r="E45" s="12" t="s">
        <v>25</v>
      </c>
      <c r="F45" s="13">
        <v>1452</v>
      </c>
      <c r="G45" s="13">
        <v>281</v>
      </c>
      <c r="H45" s="13">
        <v>326</v>
      </c>
      <c r="I45" s="13">
        <v>51556</v>
      </c>
      <c r="J45" s="13">
        <v>62599</v>
      </c>
      <c r="K45" s="13">
        <v>290</v>
      </c>
      <c r="L45" s="12" t="s">
        <v>20</v>
      </c>
      <c r="M45" s="12" t="s">
        <v>20</v>
      </c>
      <c r="N45" s="12"/>
      <c r="O45" s="69" t="s">
        <v>21</v>
      </c>
      <c r="P45" s="53">
        <f t="shared" si="0"/>
        <v>3.9937155714174881E-2</v>
      </c>
      <c r="Q45" s="31"/>
      <c r="R45" s="31"/>
    </row>
    <row r="46" spans="1:18" s="58" customFormat="1" ht="15.75" hidden="1" customHeight="1">
      <c r="A46" s="12" t="s">
        <v>76</v>
      </c>
      <c r="B46" s="12" t="s">
        <v>28</v>
      </c>
      <c r="C46" s="98">
        <v>45487</v>
      </c>
      <c r="D46" s="12" t="s">
        <v>15</v>
      </c>
      <c r="E46" s="12" t="s">
        <v>43</v>
      </c>
      <c r="F46" s="13">
        <v>3806</v>
      </c>
      <c r="G46" s="13">
        <v>114</v>
      </c>
      <c r="H46" s="13">
        <v>278</v>
      </c>
      <c r="I46" s="13">
        <v>36148</v>
      </c>
      <c r="J46" s="13">
        <v>24209</v>
      </c>
      <c r="K46" s="13">
        <v>201</v>
      </c>
      <c r="L46" s="12" t="s">
        <v>372</v>
      </c>
      <c r="M46" s="12" t="s">
        <v>20</v>
      </c>
      <c r="N46" s="12" t="s">
        <v>352</v>
      </c>
      <c r="O46" s="69" t="s">
        <v>21</v>
      </c>
      <c r="P46" s="53">
        <f t="shared" si="0"/>
        <v>0.11613367267898639</v>
      </c>
      <c r="Q46" s="31"/>
      <c r="R46" s="31"/>
    </row>
    <row r="47" spans="1:18" s="58" customFormat="1" ht="15.75" hidden="1" customHeight="1">
      <c r="A47" s="12" t="s">
        <v>77</v>
      </c>
      <c r="B47" s="12" t="s">
        <v>14</v>
      </c>
      <c r="C47" s="98">
        <v>45334</v>
      </c>
      <c r="D47" s="12" t="s">
        <v>15</v>
      </c>
      <c r="E47" s="12" t="s">
        <v>19</v>
      </c>
      <c r="F47" s="13">
        <v>2923</v>
      </c>
      <c r="G47" s="13">
        <v>330</v>
      </c>
      <c r="H47" s="13">
        <v>250</v>
      </c>
      <c r="I47" s="13">
        <v>23993</v>
      </c>
      <c r="J47" s="13">
        <v>74590</v>
      </c>
      <c r="K47" s="13">
        <v>92</v>
      </c>
      <c r="L47" s="12" t="s">
        <v>20</v>
      </c>
      <c r="M47" s="12" t="s">
        <v>20</v>
      </c>
      <c r="N47" s="12"/>
      <c r="O47" s="69" t="s">
        <v>21</v>
      </c>
      <c r="P47" s="53">
        <f t="shared" si="0"/>
        <v>0.14600091693410577</v>
      </c>
      <c r="Q47" s="31"/>
      <c r="R47" s="31"/>
    </row>
    <row r="48" spans="1:18" s="58" customFormat="1" ht="15.75" hidden="1" customHeight="1">
      <c r="A48" s="12" t="s">
        <v>78</v>
      </c>
      <c r="B48" s="12" t="s">
        <v>28</v>
      </c>
      <c r="C48" s="98">
        <v>45365</v>
      </c>
      <c r="D48" s="12" t="s">
        <v>49</v>
      </c>
      <c r="E48" s="12" t="s">
        <v>355</v>
      </c>
      <c r="F48" s="13">
        <v>3361</v>
      </c>
      <c r="G48" s="13">
        <v>188</v>
      </c>
      <c r="H48" s="13">
        <v>358</v>
      </c>
      <c r="I48" s="13">
        <v>39838</v>
      </c>
      <c r="J48" s="13">
        <v>24536</v>
      </c>
      <c r="K48" s="13">
        <v>120</v>
      </c>
      <c r="L48" s="12" t="s">
        <v>374</v>
      </c>
      <c r="M48" s="12" t="s">
        <v>20</v>
      </c>
      <c r="N48" s="12" t="s">
        <v>38</v>
      </c>
      <c r="O48" s="69" t="s">
        <v>50</v>
      </c>
      <c r="P48" s="53">
        <f t="shared" si="0"/>
        <v>9.8072192379135503E-2</v>
      </c>
      <c r="Q48" s="31"/>
      <c r="R48" s="31"/>
    </row>
    <row r="49" spans="1:18" s="58" customFormat="1" ht="15.75" hidden="1" customHeight="1">
      <c r="A49" s="12" t="s">
        <v>79</v>
      </c>
      <c r="B49" s="12" t="s">
        <v>14</v>
      </c>
      <c r="C49" s="98">
        <v>45693</v>
      </c>
      <c r="D49" s="12" t="s">
        <v>24</v>
      </c>
      <c r="E49" s="12" t="s">
        <v>356</v>
      </c>
      <c r="F49" s="13">
        <v>3074</v>
      </c>
      <c r="G49" s="13">
        <v>371</v>
      </c>
      <c r="H49" s="13">
        <v>348</v>
      </c>
      <c r="I49" s="13">
        <v>24104</v>
      </c>
      <c r="J49" s="13">
        <v>57803</v>
      </c>
      <c r="K49" s="13">
        <v>213</v>
      </c>
      <c r="L49" s="12" t="s">
        <v>35</v>
      </c>
      <c r="M49" s="12" t="s">
        <v>35</v>
      </c>
      <c r="N49" s="12"/>
      <c r="O49" s="69" t="s">
        <v>47</v>
      </c>
      <c r="P49" s="53">
        <f t="shared" si="0"/>
        <v>0.15735977431131762</v>
      </c>
      <c r="Q49" s="31"/>
      <c r="R49" s="31"/>
    </row>
    <row r="50" spans="1:18" s="58" customFormat="1" ht="15.75" customHeight="1">
      <c r="A50" s="12" t="s">
        <v>80</v>
      </c>
      <c r="B50" s="12" t="s">
        <v>23</v>
      </c>
      <c r="C50" s="98">
        <v>45533</v>
      </c>
      <c r="D50" s="187" t="s">
        <v>24</v>
      </c>
      <c r="E50" s="187" t="s">
        <v>31</v>
      </c>
      <c r="F50" s="13">
        <v>4276</v>
      </c>
      <c r="G50" s="13">
        <v>227</v>
      </c>
      <c r="H50" s="13">
        <v>223</v>
      </c>
      <c r="I50" s="13">
        <v>43443</v>
      </c>
      <c r="J50" s="13">
        <v>41005</v>
      </c>
      <c r="K50" s="13">
        <v>191</v>
      </c>
      <c r="L50" s="12" t="s">
        <v>373</v>
      </c>
      <c r="M50" s="12" t="s">
        <v>20</v>
      </c>
      <c r="N50" s="12" t="s">
        <v>351</v>
      </c>
      <c r="O50" s="190" t="s">
        <v>17</v>
      </c>
      <c r="P50" s="30">
        <f t="shared" si="0"/>
        <v>0.1087862256289851</v>
      </c>
      <c r="Q50" s="31"/>
      <c r="R50" s="31"/>
    </row>
    <row r="51" spans="1:18" s="58" customFormat="1" ht="15.75" customHeight="1">
      <c r="A51" s="12" t="s">
        <v>81</v>
      </c>
      <c r="B51" s="12" t="s">
        <v>23</v>
      </c>
      <c r="C51" s="98">
        <v>45769</v>
      </c>
      <c r="D51" s="187" t="s">
        <v>15</v>
      </c>
      <c r="E51" s="187" t="s">
        <v>16</v>
      </c>
      <c r="F51" s="13">
        <v>4401</v>
      </c>
      <c r="G51" s="13">
        <v>421</v>
      </c>
      <c r="H51" s="13">
        <v>216</v>
      </c>
      <c r="I51" s="13">
        <v>24890</v>
      </c>
      <c r="J51" s="13">
        <v>54361</v>
      </c>
      <c r="K51" s="13">
        <v>148</v>
      </c>
      <c r="L51" s="12" t="s">
        <v>35</v>
      </c>
      <c r="M51" s="12" t="s">
        <v>35</v>
      </c>
      <c r="N51" s="12"/>
      <c r="O51" s="190" t="s">
        <v>17</v>
      </c>
      <c r="P51" s="30">
        <f t="shared" si="0"/>
        <v>0.20241060666934513</v>
      </c>
      <c r="Q51" s="31"/>
      <c r="R51" s="31"/>
    </row>
    <row r="52" spans="1:18" s="58" customFormat="1" ht="15.75" hidden="1" customHeight="1">
      <c r="A52" s="12" t="s">
        <v>82</v>
      </c>
      <c r="B52" s="12" t="s">
        <v>28</v>
      </c>
      <c r="C52" s="98">
        <v>45425</v>
      </c>
      <c r="D52" s="12" t="s">
        <v>49</v>
      </c>
      <c r="E52" s="12" t="s">
        <v>19</v>
      </c>
      <c r="F52" s="13">
        <v>4161</v>
      </c>
      <c r="G52" s="13">
        <v>481</v>
      </c>
      <c r="H52" s="13">
        <v>61</v>
      </c>
      <c r="I52" s="13">
        <v>45884</v>
      </c>
      <c r="J52" s="13">
        <v>48955</v>
      </c>
      <c r="K52" s="13">
        <v>215</v>
      </c>
      <c r="L52" s="12" t="s">
        <v>374</v>
      </c>
      <c r="M52" s="12" t="s">
        <v>20</v>
      </c>
      <c r="N52" s="12" t="s">
        <v>38</v>
      </c>
      <c r="O52" s="69" t="s">
        <v>50</v>
      </c>
      <c r="P52" s="53">
        <f t="shared" si="0"/>
        <v>0.10249760265016128</v>
      </c>
      <c r="Q52" s="31"/>
      <c r="R52" s="31"/>
    </row>
    <row r="53" spans="1:18" s="58" customFormat="1" ht="15.75" customHeight="1">
      <c r="A53" s="12" t="s">
        <v>83</v>
      </c>
      <c r="B53" s="12" t="s">
        <v>23</v>
      </c>
      <c r="C53" s="98">
        <v>45539</v>
      </c>
      <c r="D53" s="187" t="s">
        <v>24</v>
      </c>
      <c r="E53" s="187" t="s">
        <v>25</v>
      </c>
      <c r="F53" s="13">
        <v>2613</v>
      </c>
      <c r="G53" s="13">
        <v>455</v>
      </c>
      <c r="H53" s="13">
        <v>228</v>
      </c>
      <c r="I53" s="13">
        <v>21645</v>
      </c>
      <c r="J53" s="13">
        <v>61334</v>
      </c>
      <c r="K53" s="13">
        <v>261</v>
      </c>
      <c r="L53" s="12" t="s">
        <v>373</v>
      </c>
      <c r="M53" s="12" t="s">
        <v>20</v>
      </c>
      <c r="N53" s="12" t="s">
        <v>351</v>
      </c>
      <c r="O53" s="190" t="s">
        <v>17</v>
      </c>
      <c r="P53" s="30">
        <f t="shared" si="0"/>
        <v>0.15227535227535227</v>
      </c>
      <c r="Q53" s="31"/>
      <c r="R53" s="31"/>
    </row>
    <row r="54" spans="1:18" s="58" customFormat="1" ht="15.75" customHeight="1">
      <c r="A54" s="12" t="s">
        <v>84</v>
      </c>
      <c r="B54" s="12" t="s">
        <v>23</v>
      </c>
      <c r="C54" s="98">
        <v>45516</v>
      </c>
      <c r="D54" s="187" t="s">
        <v>24</v>
      </c>
      <c r="E54" s="187" t="s">
        <v>354</v>
      </c>
      <c r="F54" s="13">
        <v>2842</v>
      </c>
      <c r="G54" s="13">
        <v>213</v>
      </c>
      <c r="H54" s="13">
        <v>331</v>
      </c>
      <c r="I54" s="13">
        <v>57660</v>
      </c>
      <c r="J54" s="13">
        <v>68606</v>
      </c>
      <c r="K54" s="13">
        <v>87</v>
      </c>
      <c r="L54" s="12" t="s">
        <v>371</v>
      </c>
      <c r="M54" s="12" t="s">
        <v>351</v>
      </c>
      <c r="N54" s="12" t="s">
        <v>35</v>
      </c>
      <c r="O54" s="190" t="s">
        <v>17</v>
      </c>
      <c r="P54" s="30">
        <f t="shared" si="0"/>
        <v>5.8723551855705859E-2</v>
      </c>
      <c r="Q54" s="31"/>
      <c r="R54" s="31"/>
    </row>
    <row r="55" spans="1:18" s="58" customFormat="1" ht="15.75" hidden="1" customHeight="1">
      <c r="A55" s="12" t="s">
        <v>85</v>
      </c>
      <c r="B55" s="12" t="s">
        <v>14</v>
      </c>
      <c r="C55" s="98">
        <v>45722</v>
      </c>
      <c r="D55" s="12" t="s">
        <v>15</v>
      </c>
      <c r="E55" s="12" t="s">
        <v>31</v>
      </c>
      <c r="F55" s="13">
        <v>4851</v>
      </c>
      <c r="G55" s="13">
        <v>460</v>
      </c>
      <c r="H55" s="13">
        <v>212</v>
      </c>
      <c r="I55" s="13">
        <v>58075</v>
      </c>
      <c r="J55" s="13">
        <v>59574</v>
      </c>
      <c r="K55" s="13">
        <v>239</v>
      </c>
      <c r="L55" s="12" t="s">
        <v>20</v>
      </c>
      <c r="M55" s="12" t="s">
        <v>20</v>
      </c>
      <c r="N55" s="12"/>
      <c r="O55" s="69" t="s">
        <v>21</v>
      </c>
      <c r="P55" s="53">
        <f t="shared" si="0"/>
        <v>9.5101162290142052E-2</v>
      </c>
      <c r="Q55" s="31"/>
      <c r="R55" s="31"/>
    </row>
    <row r="56" spans="1:18" s="58" customFormat="1" ht="15.75" customHeight="1">
      <c r="A56" s="12" t="s">
        <v>86</v>
      </c>
      <c r="B56" s="12" t="s">
        <v>23</v>
      </c>
      <c r="C56" s="98">
        <v>45420</v>
      </c>
      <c r="D56" s="187" t="s">
        <v>15</v>
      </c>
      <c r="E56" s="187" t="s">
        <v>19</v>
      </c>
      <c r="F56" s="13">
        <v>1828</v>
      </c>
      <c r="G56" s="13">
        <v>450</v>
      </c>
      <c r="H56" s="13">
        <v>214</v>
      </c>
      <c r="I56" s="13">
        <v>52115</v>
      </c>
      <c r="J56" s="13">
        <v>19166</v>
      </c>
      <c r="K56" s="13">
        <v>190</v>
      </c>
      <c r="L56" s="12" t="s">
        <v>35</v>
      </c>
      <c r="M56" s="12" t="s">
        <v>35</v>
      </c>
      <c r="N56" s="12"/>
      <c r="O56" s="190" t="s">
        <v>17</v>
      </c>
      <c r="P56" s="30">
        <f t="shared" si="0"/>
        <v>4.781732706514439E-2</v>
      </c>
      <c r="Q56" s="31"/>
      <c r="R56" s="31"/>
    </row>
    <row r="57" spans="1:18" s="58" customFormat="1" ht="15.75" hidden="1" customHeight="1">
      <c r="A57" s="12" t="s">
        <v>87</v>
      </c>
      <c r="B57" s="12" t="s">
        <v>14</v>
      </c>
      <c r="C57" s="98">
        <v>45707</v>
      </c>
      <c r="D57" s="12" t="s">
        <v>24</v>
      </c>
      <c r="E57" s="12" t="s">
        <v>355</v>
      </c>
      <c r="F57" s="13">
        <v>2422</v>
      </c>
      <c r="G57" s="13">
        <v>455</v>
      </c>
      <c r="H57" s="13">
        <v>376</v>
      </c>
      <c r="I57" s="13">
        <v>23428</v>
      </c>
      <c r="J57" s="13">
        <v>46775</v>
      </c>
      <c r="K57" s="13">
        <v>259</v>
      </c>
      <c r="L57" s="12" t="s">
        <v>35</v>
      </c>
      <c r="M57" s="12" t="s">
        <v>35</v>
      </c>
      <c r="N57" s="12"/>
      <c r="O57" s="69" t="s">
        <v>47</v>
      </c>
      <c r="P57" s="53">
        <f t="shared" si="0"/>
        <v>0.13885094758408742</v>
      </c>
      <c r="Q57" s="31"/>
      <c r="R57" s="31"/>
    </row>
    <row r="58" spans="1:18" s="58" customFormat="1" ht="15.75" hidden="1" customHeight="1">
      <c r="A58" s="12" t="s">
        <v>88</v>
      </c>
      <c r="B58" s="12" t="s">
        <v>14</v>
      </c>
      <c r="C58" s="98">
        <v>45299</v>
      </c>
      <c r="D58" s="12" t="s">
        <v>15</v>
      </c>
      <c r="E58" s="12" t="s">
        <v>34</v>
      </c>
      <c r="F58" s="13">
        <v>2683</v>
      </c>
      <c r="G58" s="13">
        <v>405</v>
      </c>
      <c r="H58" s="13">
        <v>223</v>
      </c>
      <c r="I58" s="13">
        <v>31233</v>
      </c>
      <c r="J58" s="13">
        <v>58106</v>
      </c>
      <c r="K58" s="13">
        <v>291</v>
      </c>
      <c r="L58" s="12" t="s">
        <v>20</v>
      </c>
      <c r="M58" s="12" t="s">
        <v>20</v>
      </c>
      <c r="N58" s="12"/>
      <c r="O58" s="69" t="s">
        <v>21</v>
      </c>
      <c r="P58" s="53">
        <f t="shared" si="0"/>
        <v>0.10600966926007749</v>
      </c>
      <c r="Q58" s="31"/>
      <c r="R58" s="31"/>
    </row>
    <row r="59" spans="1:18" s="58" customFormat="1" ht="15.75" hidden="1" customHeight="1">
      <c r="A59" s="12" t="s">
        <v>89</v>
      </c>
      <c r="B59" s="12" t="s">
        <v>28</v>
      </c>
      <c r="C59" s="98">
        <v>45490</v>
      </c>
      <c r="D59" s="12" t="s">
        <v>15</v>
      </c>
      <c r="E59" s="12" t="s">
        <v>34</v>
      </c>
      <c r="F59" s="13">
        <v>3135</v>
      </c>
      <c r="G59" s="13">
        <v>110</v>
      </c>
      <c r="H59" s="13">
        <v>215</v>
      </c>
      <c r="I59" s="13">
        <v>39192</v>
      </c>
      <c r="J59" s="13">
        <v>24744</v>
      </c>
      <c r="K59" s="13">
        <v>177</v>
      </c>
      <c r="L59" s="12" t="s">
        <v>372</v>
      </c>
      <c r="M59" s="12" t="s">
        <v>20</v>
      </c>
      <c r="N59" s="12" t="s">
        <v>352</v>
      </c>
      <c r="O59" s="69" t="s">
        <v>21</v>
      </c>
      <c r="P59" s="53">
        <f t="shared" si="0"/>
        <v>8.8283323127168814E-2</v>
      </c>
      <c r="Q59" s="31"/>
      <c r="R59" s="31"/>
    </row>
    <row r="60" spans="1:18" s="58" customFormat="1" ht="15.75" hidden="1" customHeight="1">
      <c r="A60" s="12" t="s">
        <v>90</v>
      </c>
      <c r="B60" s="12" t="s">
        <v>28</v>
      </c>
      <c r="C60" s="98">
        <v>45514</v>
      </c>
      <c r="D60" s="12" t="s">
        <v>15</v>
      </c>
      <c r="E60" s="12" t="s">
        <v>355</v>
      </c>
      <c r="F60" s="13">
        <v>1105</v>
      </c>
      <c r="G60" s="13">
        <v>181</v>
      </c>
      <c r="H60" s="13">
        <v>55</v>
      </c>
      <c r="I60" s="13">
        <v>53581</v>
      </c>
      <c r="J60" s="13">
        <v>74048</v>
      </c>
      <c r="K60" s="13">
        <v>220</v>
      </c>
      <c r="L60" s="12" t="s">
        <v>372</v>
      </c>
      <c r="M60" s="12" t="s">
        <v>20</v>
      </c>
      <c r="N60" s="12" t="s">
        <v>352</v>
      </c>
      <c r="O60" s="69" t="s">
        <v>21</v>
      </c>
      <c r="P60" s="53">
        <f t="shared" si="0"/>
        <v>2.50275284149232E-2</v>
      </c>
      <c r="Q60" s="31"/>
      <c r="R60" s="31"/>
    </row>
    <row r="61" spans="1:18" s="58" customFormat="1" ht="15.75" hidden="1" customHeight="1">
      <c r="A61" s="12" t="s">
        <v>91</v>
      </c>
      <c r="B61" s="12" t="s">
        <v>28</v>
      </c>
      <c r="C61" s="98">
        <v>45398</v>
      </c>
      <c r="D61" s="12" t="s">
        <v>15</v>
      </c>
      <c r="E61" s="12" t="s">
        <v>16</v>
      </c>
      <c r="F61" s="13">
        <v>4674</v>
      </c>
      <c r="G61" s="13">
        <v>326</v>
      </c>
      <c r="H61" s="13">
        <v>62</v>
      </c>
      <c r="I61" s="13">
        <v>45503</v>
      </c>
      <c r="J61" s="13">
        <v>46814</v>
      </c>
      <c r="K61" s="13">
        <v>116</v>
      </c>
      <c r="L61" s="12" t="s">
        <v>372</v>
      </c>
      <c r="M61" s="12" t="s">
        <v>20</v>
      </c>
      <c r="N61" s="12" t="s">
        <v>352</v>
      </c>
      <c r="O61" s="69" t="s">
        <v>21</v>
      </c>
      <c r="P61" s="53">
        <f t="shared" si="0"/>
        <v>0.11124541239039185</v>
      </c>
      <c r="Q61" s="31"/>
      <c r="R61" s="31"/>
    </row>
    <row r="62" spans="1:18" s="58" customFormat="1" ht="15.75" hidden="1" customHeight="1">
      <c r="A62" s="12" t="s">
        <v>92</v>
      </c>
      <c r="B62" s="12" t="s">
        <v>28</v>
      </c>
      <c r="C62" s="98">
        <v>45292</v>
      </c>
      <c r="D62" s="12" t="s">
        <v>49</v>
      </c>
      <c r="E62" s="12" t="s">
        <v>19</v>
      </c>
      <c r="F62" s="13">
        <v>3437</v>
      </c>
      <c r="G62" s="13">
        <v>129</v>
      </c>
      <c r="H62" s="13">
        <v>359</v>
      </c>
      <c r="I62" s="13">
        <v>44558</v>
      </c>
      <c r="J62" s="13">
        <v>30854</v>
      </c>
      <c r="K62" s="13">
        <v>171</v>
      </c>
      <c r="L62" s="12" t="s">
        <v>374</v>
      </c>
      <c r="M62" s="12" t="s">
        <v>20</v>
      </c>
      <c r="N62" s="12" t="s">
        <v>38</v>
      </c>
      <c r="O62" s="69" t="s">
        <v>50</v>
      </c>
      <c r="P62" s="53">
        <f t="shared" si="0"/>
        <v>8.8087436599488311E-2</v>
      </c>
      <c r="Q62" s="31"/>
      <c r="R62" s="31"/>
    </row>
    <row r="63" spans="1:18" s="58" customFormat="1" ht="15.75" customHeight="1">
      <c r="A63" s="12" t="s">
        <v>93</v>
      </c>
      <c r="B63" s="12" t="s">
        <v>23</v>
      </c>
      <c r="C63" s="98">
        <v>45599</v>
      </c>
      <c r="D63" s="187" t="s">
        <v>24</v>
      </c>
      <c r="E63" s="187" t="s">
        <v>353</v>
      </c>
      <c r="F63" s="13">
        <v>1959</v>
      </c>
      <c r="G63" s="13">
        <v>316</v>
      </c>
      <c r="H63" s="13">
        <v>82</v>
      </c>
      <c r="I63" s="13">
        <v>54036</v>
      </c>
      <c r="J63" s="13">
        <v>69015</v>
      </c>
      <c r="K63" s="13">
        <v>182</v>
      </c>
      <c r="L63" s="12" t="s">
        <v>371</v>
      </c>
      <c r="M63" s="12" t="s">
        <v>351</v>
      </c>
      <c r="N63" s="12" t="s">
        <v>35</v>
      </c>
      <c r="O63" s="190" t="s">
        <v>17</v>
      </c>
      <c r="P63" s="30">
        <f t="shared" si="0"/>
        <v>4.3619068768968837E-2</v>
      </c>
      <c r="Q63" s="31"/>
      <c r="R63" s="31"/>
    </row>
    <row r="64" spans="1:18" s="58" customFormat="1" ht="15.75" hidden="1" customHeight="1">
      <c r="A64" s="12" t="s">
        <v>94</v>
      </c>
      <c r="B64" s="12" t="s">
        <v>23</v>
      </c>
      <c r="C64" s="98">
        <v>45480</v>
      </c>
      <c r="D64" s="12" t="s">
        <v>15</v>
      </c>
      <c r="E64" s="12" t="s">
        <v>25</v>
      </c>
      <c r="F64" s="13">
        <v>1035</v>
      </c>
      <c r="G64" s="13">
        <v>137</v>
      </c>
      <c r="H64" s="13">
        <v>184</v>
      </c>
      <c r="I64" s="13">
        <v>37302</v>
      </c>
      <c r="J64" s="13">
        <v>68953</v>
      </c>
      <c r="K64" s="13">
        <v>237</v>
      </c>
      <c r="L64" s="12" t="s">
        <v>38</v>
      </c>
      <c r="M64" s="12" t="s">
        <v>38</v>
      </c>
      <c r="N64" s="12"/>
      <c r="O64" s="69" t="s">
        <v>21</v>
      </c>
      <c r="P64" s="53">
        <f t="shared" si="0"/>
        <v>3.6351938233874857E-2</v>
      </c>
      <c r="Q64" s="31"/>
      <c r="R64" s="31"/>
    </row>
    <row r="65" spans="1:18" s="58" customFormat="1" ht="15.75" customHeight="1">
      <c r="A65" s="12" t="s">
        <v>95</v>
      </c>
      <c r="B65" s="12" t="s">
        <v>23</v>
      </c>
      <c r="C65" s="98">
        <v>45679</v>
      </c>
      <c r="D65" s="187" t="s">
        <v>24</v>
      </c>
      <c r="E65" s="187" t="s">
        <v>25</v>
      </c>
      <c r="F65" s="13">
        <v>4478</v>
      </c>
      <c r="G65" s="13">
        <v>101</v>
      </c>
      <c r="H65" s="13">
        <v>121</v>
      </c>
      <c r="I65" s="13">
        <v>51035</v>
      </c>
      <c r="J65" s="13">
        <v>58207</v>
      </c>
      <c r="K65" s="13">
        <v>205</v>
      </c>
      <c r="L65" s="12" t="s">
        <v>371</v>
      </c>
      <c r="M65" s="12" t="s">
        <v>351</v>
      </c>
      <c r="N65" s="12" t="s">
        <v>35</v>
      </c>
      <c r="O65" s="190" t="s">
        <v>17</v>
      </c>
      <c r="P65" s="30">
        <f t="shared" si="0"/>
        <v>9.2093661212893113E-2</v>
      </c>
      <c r="Q65" s="31"/>
      <c r="R65" s="93"/>
    </row>
    <row r="66" spans="1:18" s="58" customFormat="1" ht="15.75" hidden="1" customHeight="1">
      <c r="A66" s="12" t="s">
        <v>96</v>
      </c>
      <c r="B66" s="12" t="s">
        <v>28</v>
      </c>
      <c r="C66" s="98">
        <v>45438</v>
      </c>
      <c r="D66" s="12" t="s">
        <v>15</v>
      </c>
      <c r="E66" s="12" t="s">
        <v>355</v>
      </c>
      <c r="F66" s="13">
        <v>1488</v>
      </c>
      <c r="G66" s="13">
        <v>327</v>
      </c>
      <c r="H66" s="13">
        <v>110</v>
      </c>
      <c r="I66" s="13">
        <v>53805</v>
      </c>
      <c r="J66" s="13">
        <v>30239</v>
      </c>
      <c r="K66" s="13">
        <v>109</v>
      </c>
      <c r="L66" s="12" t="s">
        <v>372</v>
      </c>
      <c r="M66" s="12" t="s">
        <v>20</v>
      </c>
      <c r="N66" s="12" t="s">
        <v>352</v>
      </c>
      <c r="O66" s="69" t="s">
        <v>21</v>
      </c>
      <c r="P66" s="53">
        <f t="shared" ref="P66:P129" si="1">(F66+G66+H66)/I66</f>
        <v>3.5777344113000653E-2</v>
      </c>
      <c r="Q66" s="31"/>
      <c r="R66" s="31"/>
    </row>
    <row r="67" spans="1:18" s="58" customFormat="1" ht="15.75" customHeight="1">
      <c r="A67" s="12" t="s">
        <v>97</v>
      </c>
      <c r="B67" s="12" t="s">
        <v>14</v>
      </c>
      <c r="C67" s="98">
        <v>45763</v>
      </c>
      <c r="D67" s="187" t="s">
        <v>15</v>
      </c>
      <c r="E67" s="187" t="s">
        <v>353</v>
      </c>
      <c r="F67" s="13">
        <v>4836</v>
      </c>
      <c r="G67" s="13">
        <v>331</v>
      </c>
      <c r="H67" s="13">
        <v>140</v>
      </c>
      <c r="I67" s="13">
        <v>58792</v>
      </c>
      <c r="J67" s="13">
        <v>47711</v>
      </c>
      <c r="K67" s="13">
        <v>227</v>
      </c>
      <c r="L67" s="12" t="s">
        <v>370</v>
      </c>
      <c r="M67" s="12" t="s">
        <v>38</v>
      </c>
      <c r="N67" s="12" t="s">
        <v>35</v>
      </c>
      <c r="O67" s="190" t="s">
        <v>17</v>
      </c>
      <c r="P67" s="30">
        <f t="shared" si="1"/>
        <v>9.0267383317458164E-2</v>
      </c>
      <c r="Q67" s="31"/>
      <c r="R67" s="31"/>
    </row>
    <row r="68" spans="1:18" s="58" customFormat="1" ht="15.75" hidden="1" customHeight="1">
      <c r="A68" s="12" t="s">
        <v>98</v>
      </c>
      <c r="B68" s="12" t="s">
        <v>28</v>
      </c>
      <c r="C68" s="98">
        <v>45384</v>
      </c>
      <c r="D68" s="12" t="s">
        <v>49</v>
      </c>
      <c r="E68" s="12" t="s">
        <v>43</v>
      </c>
      <c r="F68" s="13">
        <v>4563</v>
      </c>
      <c r="G68" s="13">
        <v>488</v>
      </c>
      <c r="H68" s="13">
        <v>356</v>
      </c>
      <c r="I68" s="13">
        <v>30619</v>
      </c>
      <c r="J68" s="13">
        <v>23328</v>
      </c>
      <c r="K68" s="13">
        <v>267</v>
      </c>
      <c r="L68" s="12" t="s">
        <v>374</v>
      </c>
      <c r="M68" s="12" t="s">
        <v>20</v>
      </c>
      <c r="N68" s="12" t="s">
        <v>38</v>
      </c>
      <c r="O68" s="69" t="s">
        <v>50</v>
      </c>
      <c r="P68" s="53">
        <f t="shared" si="1"/>
        <v>0.17658969920637513</v>
      </c>
      <c r="Q68" s="31"/>
      <c r="R68" s="31"/>
    </row>
    <row r="69" spans="1:18" s="58" customFormat="1" ht="15.75" hidden="1" customHeight="1">
      <c r="A69" s="12" t="s">
        <v>99</v>
      </c>
      <c r="B69" s="12" t="s">
        <v>23</v>
      </c>
      <c r="C69" s="98">
        <v>45379</v>
      </c>
      <c r="D69" s="12" t="s">
        <v>15</v>
      </c>
      <c r="E69" s="12" t="s">
        <v>356</v>
      </c>
      <c r="F69" s="13">
        <v>3276</v>
      </c>
      <c r="G69" s="13">
        <v>421</v>
      </c>
      <c r="H69" s="13">
        <v>114</v>
      </c>
      <c r="I69" s="13">
        <v>20580</v>
      </c>
      <c r="J69" s="13">
        <v>30324</v>
      </c>
      <c r="K69" s="13">
        <v>221</v>
      </c>
      <c r="L69" s="12" t="s">
        <v>38</v>
      </c>
      <c r="M69" s="12" t="s">
        <v>38</v>
      </c>
      <c r="N69" s="12"/>
      <c r="O69" s="69" t="s">
        <v>21</v>
      </c>
      <c r="P69" s="53">
        <f t="shared" si="1"/>
        <v>0.18517978620019437</v>
      </c>
      <c r="Q69" s="31"/>
      <c r="R69" s="31"/>
    </row>
    <row r="70" spans="1:18" s="58" customFormat="1" ht="15.75" customHeight="1">
      <c r="A70" s="12" t="s">
        <v>100</v>
      </c>
      <c r="B70" s="12" t="s">
        <v>23</v>
      </c>
      <c r="C70" s="98">
        <v>45643</v>
      </c>
      <c r="D70" s="187" t="s">
        <v>24</v>
      </c>
      <c r="E70" s="187" t="s">
        <v>356</v>
      </c>
      <c r="F70" s="13">
        <v>1316</v>
      </c>
      <c r="G70" s="13">
        <v>472</v>
      </c>
      <c r="H70" s="13">
        <v>286</v>
      </c>
      <c r="I70" s="13">
        <v>44692</v>
      </c>
      <c r="J70" s="13">
        <v>53343</v>
      </c>
      <c r="K70" s="13">
        <v>227</v>
      </c>
      <c r="L70" s="12" t="s">
        <v>373</v>
      </c>
      <c r="M70" s="12" t="s">
        <v>20</v>
      </c>
      <c r="N70" s="12" t="s">
        <v>351</v>
      </c>
      <c r="O70" s="190" t="s">
        <v>17</v>
      </c>
      <c r="P70" s="30">
        <f t="shared" si="1"/>
        <v>4.6406515707509172E-2</v>
      </c>
      <c r="Q70" s="31"/>
      <c r="R70" s="31"/>
    </row>
    <row r="71" spans="1:18" s="58" customFormat="1" ht="15.75" customHeight="1">
      <c r="A71" s="12" t="s">
        <v>101</v>
      </c>
      <c r="B71" s="12" t="s">
        <v>23</v>
      </c>
      <c r="C71" s="98">
        <v>45662</v>
      </c>
      <c r="D71" s="187" t="s">
        <v>15</v>
      </c>
      <c r="E71" s="187" t="s">
        <v>353</v>
      </c>
      <c r="F71" s="13">
        <v>4811</v>
      </c>
      <c r="G71" s="13">
        <v>473</v>
      </c>
      <c r="H71" s="13">
        <v>254</v>
      </c>
      <c r="I71" s="13">
        <v>51964</v>
      </c>
      <c r="J71" s="13">
        <v>68795</v>
      </c>
      <c r="K71" s="13">
        <v>107</v>
      </c>
      <c r="L71" s="12" t="s">
        <v>35</v>
      </c>
      <c r="M71" s="12" t="s">
        <v>35</v>
      </c>
      <c r="N71" s="12"/>
      <c r="O71" s="190" t="s">
        <v>17</v>
      </c>
      <c r="P71" s="30">
        <f t="shared" si="1"/>
        <v>0.10657378184897237</v>
      </c>
      <c r="Q71" s="31"/>
      <c r="R71" s="31"/>
    </row>
    <row r="72" spans="1:18" s="58" customFormat="1" ht="15.75" hidden="1" customHeight="1">
      <c r="A72" s="12" t="s">
        <v>102</v>
      </c>
      <c r="B72" s="12" t="s">
        <v>23</v>
      </c>
      <c r="C72" s="98">
        <v>45302</v>
      </c>
      <c r="D72" s="12" t="s">
        <v>15</v>
      </c>
      <c r="E72" s="12" t="s">
        <v>354</v>
      </c>
      <c r="F72" s="13">
        <v>4218</v>
      </c>
      <c r="G72" s="13">
        <v>247</v>
      </c>
      <c r="H72" s="13">
        <v>183</v>
      </c>
      <c r="I72" s="13">
        <v>28914</v>
      </c>
      <c r="J72" s="13">
        <v>18310</v>
      </c>
      <c r="K72" s="13">
        <v>135</v>
      </c>
      <c r="L72" s="12" t="s">
        <v>38</v>
      </c>
      <c r="M72" s="12" t="s">
        <v>38</v>
      </c>
      <c r="N72" s="12"/>
      <c r="O72" s="69" t="s">
        <v>21</v>
      </c>
      <c r="P72" s="53">
        <f t="shared" si="1"/>
        <v>0.1607525766064882</v>
      </c>
      <c r="Q72" s="31"/>
      <c r="R72" s="31"/>
    </row>
    <row r="73" spans="1:18" s="58" customFormat="1" ht="15.75" hidden="1" customHeight="1">
      <c r="A73" s="12" t="s">
        <v>103</v>
      </c>
      <c r="B73" s="12" t="s">
        <v>14</v>
      </c>
      <c r="C73" s="98">
        <v>45576</v>
      </c>
      <c r="D73" s="12" t="s">
        <v>15</v>
      </c>
      <c r="E73" s="12" t="s">
        <v>355</v>
      </c>
      <c r="F73" s="13">
        <v>1360</v>
      </c>
      <c r="G73" s="13">
        <v>249</v>
      </c>
      <c r="H73" s="13">
        <v>52</v>
      </c>
      <c r="I73" s="13">
        <v>20368</v>
      </c>
      <c r="J73" s="13">
        <v>42152</v>
      </c>
      <c r="K73" s="13">
        <v>193</v>
      </c>
      <c r="L73" s="12" t="s">
        <v>20</v>
      </c>
      <c r="M73" s="12" t="s">
        <v>20</v>
      </c>
      <c r="N73" s="12"/>
      <c r="O73" s="69" t="s">
        <v>21</v>
      </c>
      <c r="P73" s="53">
        <f t="shared" si="1"/>
        <v>8.1549489395129612E-2</v>
      </c>
      <c r="Q73" s="31"/>
      <c r="R73" s="31"/>
    </row>
    <row r="74" spans="1:18" s="58" customFormat="1" ht="15.75" hidden="1" customHeight="1">
      <c r="A74" s="12" t="s">
        <v>104</v>
      </c>
      <c r="B74" s="12" t="s">
        <v>28</v>
      </c>
      <c r="C74" s="98">
        <v>45783</v>
      </c>
      <c r="D74" s="12" t="s">
        <v>49</v>
      </c>
      <c r="E74" s="12" t="s">
        <v>16</v>
      </c>
      <c r="F74" s="13">
        <v>1085</v>
      </c>
      <c r="G74" s="13">
        <v>496</v>
      </c>
      <c r="H74" s="13">
        <v>320</v>
      </c>
      <c r="I74" s="13">
        <v>36528</v>
      </c>
      <c r="J74" s="13">
        <v>38599</v>
      </c>
      <c r="K74" s="13">
        <v>270</v>
      </c>
      <c r="L74" s="12" t="s">
        <v>374</v>
      </c>
      <c r="M74" s="12" t="s">
        <v>20</v>
      </c>
      <c r="N74" s="12" t="s">
        <v>38</v>
      </c>
      <c r="O74" s="69" t="s">
        <v>50</v>
      </c>
      <c r="P74" s="53">
        <f t="shared" si="1"/>
        <v>5.2042268944371438E-2</v>
      </c>
      <c r="Q74" s="31"/>
      <c r="R74" s="31"/>
    </row>
    <row r="75" spans="1:18" s="58" customFormat="1" ht="15.75" customHeight="1">
      <c r="A75" s="12" t="s">
        <v>105</v>
      </c>
      <c r="B75" s="12" t="s">
        <v>23</v>
      </c>
      <c r="C75" s="98">
        <v>45431</v>
      </c>
      <c r="D75" s="187" t="s">
        <v>24</v>
      </c>
      <c r="E75" s="187" t="s">
        <v>31</v>
      </c>
      <c r="F75" s="13">
        <v>1763</v>
      </c>
      <c r="G75" s="13">
        <v>206</v>
      </c>
      <c r="H75" s="13">
        <v>187</v>
      </c>
      <c r="I75" s="13">
        <v>53342</v>
      </c>
      <c r="J75" s="13">
        <v>25095</v>
      </c>
      <c r="K75" s="13">
        <v>88</v>
      </c>
      <c r="L75" s="12" t="s">
        <v>373</v>
      </c>
      <c r="M75" s="12" t="s">
        <v>20</v>
      </c>
      <c r="N75" s="12" t="s">
        <v>351</v>
      </c>
      <c r="O75" s="190" t="s">
        <v>17</v>
      </c>
      <c r="P75" s="30">
        <f t="shared" si="1"/>
        <v>4.0418432004799221E-2</v>
      </c>
      <c r="Q75" s="31"/>
      <c r="R75" s="31"/>
    </row>
    <row r="76" spans="1:18" s="58" customFormat="1" ht="15.75" customHeight="1">
      <c r="A76" s="12" t="s">
        <v>106</v>
      </c>
      <c r="B76" s="12" t="s">
        <v>23</v>
      </c>
      <c r="C76" s="98">
        <v>45313</v>
      </c>
      <c r="D76" s="187" t="s">
        <v>24</v>
      </c>
      <c r="E76" s="187" t="s">
        <v>355</v>
      </c>
      <c r="F76" s="13">
        <v>1554</v>
      </c>
      <c r="G76" s="13">
        <v>455</v>
      </c>
      <c r="H76" s="13">
        <v>158</v>
      </c>
      <c r="I76" s="13">
        <v>41947</v>
      </c>
      <c r="J76" s="13">
        <v>48578</v>
      </c>
      <c r="K76" s="13">
        <v>101</v>
      </c>
      <c r="L76" s="12" t="s">
        <v>370</v>
      </c>
      <c r="M76" s="12" t="s">
        <v>38</v>
      </c>
      <c r="N76" s="12" t="s">
        <v>35</v>
      </c>
      <c r="O76" s="190" t="s">
        <v>17</v>
      </c>
      <c r="P76" s="30">
        <f t="shared" si="1"/>
        <v>5.1660428636136076E-2</v>
      </c>
      <c r="Q76" s="31"/>
      <c r="R76" s="31"/>
    </row>
    <row r="77" spans="1:18" s="58" customFormat="1" ht="15.75" hidden="1" customHeight="1">
      <c r="A77" s="12" t="s">
        <v>107</v>
      </c>
      <c r="B77" s="12" t="s">
        <v>14</v>
      </c>
      <c r="C77" s="98">
        <v>45487</v>
      </c>
      <c r="D77" s="12" t="s">
        <v>15</v>
      </c>
      <c r="E77" s="12" t="s">
        <v>353</v>
      </c>
      <c r="F77" s="13">
        <v>2464</v>
      </c>
      <c r="G77" s="13">
        <v>401</v>
      </c>
      <c r="H77" s="13">
        <v>78</v>
      </c>
      <c r="I77" s="13">
        <v>38665</v>
      </c>
      <c r="J77" s="13">
        <v>73593</v>
      </c>
      <c r="K77" s="13">
        <v>207</v>
      </c>
      <c r="L77" s="12" t="s">
        <v>20</v>
      </c>
      <c r="M77" s="12" t="s">
        <v>20</v>
      </c>
      <c r="N77" s="12"/>
      <c r="O77" s="69" t="s">
        <v>21</v>
      </c>
      <c r="P77" s="53">
        <f t="shared" si="1"/>
        <v>7.611534979956032E-2</v>
      </c>
      <c r="Q77" s="31"/>
      <c r="R77" s="31"/>
    </row>
    <row r="78" spans="1:18" s="58" customFormat="1" ht="15.75" customHeight="1">
      <c r="A78" s="12" t="s">
        <v>108</v>
      </c>
      <c r="B78" s="12" t="s">
        <v>23</v>
      </c>
      <c r="C78" s="98">
        <v>45805</v>
      </c>
      <c r="D78" s="187" t="s">
        <v>15</v>
      </c>
      <c r="E78" s="187" t="s">
        <v>355</v>
      </c>
      <c r="F78" s="13">
        <v>2418</v>
      </c>
      <c r="G78" s="13">
        <v>161</v>
      </c>
      <c r="H78" s="13">
        <v>360</v>
      </c>
      <c r="I78" s="13">
        <v>30589</v>
      </c>
      <c r="J78" s="13">
        <v>41383</v>
      </c>
      <c r="K78" s="13">
        <v>88</v>
      </c>
      <c r="L78" s="12" t="s">
        <v>35</v>
      </c>
      <c r="M78" s="12" t="s">
        <v>35</v>
      </c>
      <c r="N78" s="12"/>
      <c r="O78" s="190" t="s">
        <v>17</v>
      </c>
      <c r="P78" s="30">
        <f t="shared" si="1"/>
        <v>9.6080290300434801E-2</v>
      </c>
      <c r="Q78" s="31"/>
      <c r="R78" s="31"/>
    </row>
    <row r="79" spans="1:18" s="58" customFormat="1" ht="15.75" customHeight="1">
      <c r="A79" s="12" t="s">
        <v>109</v>
      </c>
      <c r="B79" s="12" t="s">
        <v>23</v>
      </c>
      <c r="C79" s="98">
        <v>45678</v>
      </c>
      <c r="D79" s="187" t="s">
        <v>24</v>
      </c>
      <c r="E79" s="187" t="s">
        <v>16</v>
      </c>
      <c r="F79" s="13">
        <v>2494</v>
      </c>
      <c r="G79" s="13">
        <v>494</v>
      </c>
      <c r="H79" s="13">
        <v>55</v>
      </c>
      <c r="I79" s="13">
        <v>22580</v>
      </c>
      <c r="J79" s="13">
        <v>22214</v>
      </c>
      <c r="K79" s="13">
        <v>109</v>
      </c>
      <c r="L79" s="12" t="s">
        <v>371</v>
      </c>
      <c r="M79" s="12" t="s">
        <v>351</v>
      </c>
      <c r="N79" s="12" t="s">
        <v>35</v>
      </c>
      <c r="O79" s="190" t="s">
        <v>17</v>
      </c>
      <c r="P79" s="30">
        <f t="shared" si="1"/>
        <v>0.13476527900797167</v>
      </c>
      <c r="Q79" s="31"/>
      <c r="R79" s="93"/>
    </row>
    <row r="80" spans="1:18" s="58" customFormat="1" ht="15.75" hidden="1" customHeight="1">
      <c r="A80" s="12" t="s">
        <v>110</v>
      </c>
      <c r="B80" s="12" t="s">
        <v>28</v>
      </c>
      <c r="C80" s="98">
        <v>45304</v>
      </c>
      <c r="D80" s="12" t="s">
        <v>49</v>
      </c>
      <c r="E80" s="12" t="s">
        <v>25</v>
      </c>
      <c r="F80" s="13">
        <v>4781</v>
      </c>
      <c r="G80" s="13">
        <v>191</v>
      </c>
      <c r="H80" s="13">
        <v>122</v>
      </c>
      <c r="I80" s="13">
        <v>35535</v>
      </c>
      <c r="J80" s="13">
        <v>50777</v>
      </c>
      <c r="K80" s="13">
        <v>128</v>
      </c>
      <c r="L80" s="12" t="s">
        <v>374</v>
      </c>
      <c r="M80" s="12" t="s">
        <v>20</v>
      </c>
      <c r="N80" s="12" t="s">
        <v>38</v>
      </c>
      <c r="O80" s="69" t="s">
        <v>50</v>
      </c>
      <c r="P80" s="53">
        <f t="shared" si="1"/>
        <v>0.14335162515829464</v>
      </c>
      <c r="Q80" s="31"/>
      <c r="R80" s="31"/>
    </row>
    <row r="81" spans="1:18" s="58" customFormat="1" ht="15.75" customHeight="1">
      <c r="A81" s="12" t="s">
        <v>111</v>
      </c>
      <c r="B81" s="12" t="s">
        <v>14</v>
      </c>
      <c r="C81" s="98">
        <v>45825</v>
      </c>
      <c r="D81" s="187" t="s">
        <v>15</v>
      </c>
      <c r="E81" s="187" t="s">
        <v>356</v>
      </c>
      <c r="F81" s="13">
        <v>2284</v>
      </c>
      <c r="G81" s="13">
        <v>187</v>
      </c>
      <c r="H81" s="13">
        <v>260</v>
      </c>
      <c r="I81" s="13">
        <v>37400</v>
      </c>
      <c r="J81" s="13">
        <v>65014</v>
      </c>
      <c r="K81" s="13">
        <v>157</v>
      </c>
      <c r="L81" s="12" t="s">
        <v>370</v>
      </c>
      <c r="M81" s="12" t="s">
        <v>38</v>
      </c>
      <c r="N81" s="12" t="s">
        <v>35</v>
      </c>
      <c r="O81" s="190" t="s">
        <v>17</v>
      </c>
      <c r="P81" s="30">
        <f t="shared" si="1"/>
        <v>7.3021390374331557E-2</v>
      </c>
      <c r="Q81" s="31"/>
      <c r="R81" s="31"/>
    </row>
    <row r="82" spans="1:18" s="58" customFormat="1" ht="15.75" hidden="1" customHeight="1">
      <c r="A82" s="12" t="s">
        <v>112</v>
      </c>
      <c r="B82" s="12" t="s">
        <v>23</v>
      </c>
      <c r="C82" s="98">
        <v>45723</v>
      </c>
      <c r="D82" s="12" t="s">
        <v>15</v>
      </c>
      <c r="E82" s="12" t="s">
        <v>31</v>
      </c>
      <c r="F82" s="13">
        <v>4234</v>
      </c>
      <c r="G82" s="13">
        <v>486</v>
      </c>
      <c r="H82" s="13">
        <v>276</v>
      </c>
      <c r="I82" s="13">
        <v>56623</v>
      </c>
      <c r="J82" s="13">
        <v>41343</v>
      </c>
      <c r="K82" s="13">
        <v>184</v>
      </c>
      <c r="L82" s="12" t="s">
        <v>38</v>
      </c>
      <c r="M82" s="12" t="s">
        <v>38</v>
      </c>
      <c r="N82" s="12"/>
      <c r="O82" s="69" t="s">
        <v>21</v>
      </c>
      <c r="P82" s="53">
        <f t="shared" si="1"/>
        <v>8.8232696960599044E-2</v>
      </c>
      <c r="Q82" s="31"/>
      <c r="R82" s="31"/>
    </row>
    <row r="83" spans="1:18" s="58" customFormat="1" ht="15.75" hidden="1" customHeight="1">
      <c r="A83" s="12" t="s">
        <v>113</v>
      </c>
      <c r="B83" s="12" t="s">
        <v>14</v>
      </c>
      <c r="C83" s="98">
        <v>45530</v>
      </c>
      <c r="D83" s="12" t="s">
        <v>15</v>
      </c>
      <c r="E83" s="12" t="s">
        <v>43</v>
      </c>
      <c r="F83" s="13">
        <v>2102</v>
      </c>
      <c r="G83" s="13">
        <v>181</v>
      </c>
      <c r="H83" s="13">
        <v>306</v>
      </c>
      <c r="I83" s="13">
        <v>43650</v>
      </c>
      <c r="J83" s="13">
        <v>50079</v>
      </c>
      <c r="K83" s="13">
        <v>182</v>
      </c>
      <c r="L83" s="12" t="s">
        <v>20</v>
      </c>
      <c r="M83" s="12" t="s">
        <v>20</v>
      </c>
      <c r="N83" s="12"/>
      <c r="O83" s="69" t="s">
        <v>21</v>
      </c>
      <c r="P83" s="53">
        <f t="shared" si="1"/>
        <v>5.9312714776632303E-2</v>
      </c>
      <c r="Q83" s="31"/>
      <c r="R83" s="31"/>
    </row>
    <row r="84" spans="1:18" s="58" customFormat="1" ht="15.75" customHeight="1">
      <c r="A84" s="12" t="s">
        <v>114</v>
      </c>
      <c r="B84" s="12" t="s">
        <v>23</v>
      </c>
      <c r="C84" s="98">
        <v>45660</v>
      </c>
      <c r="D84" s="187" t="s">
        <v>24</v>
      </c>
      <c r="E84" s="187" t="s">
        <v>31</v>
      </c>
      <c r="F84" s="13">
        <v>4845</v>
      </c>
      <c r="G84" s="13">
        <v>158</v>
      </c>
      <c r="H84" s="13">
        <v>84</v>
      </c>
      <c r="I84" s="13">
        <v>34578</v>
      </c>
      <c r="J84" s="13">
        <v>51480</v>
      </c>
      <c r="K84" s="13">
        <v>180</v>
      </c>
      <c r="L84" s="12" t="s">
        <v>370</v>
      </c>
      <c r="M84" s="12" t="s">
        <v>38</v>
      </c>
      <c r="N84" s="12" t="s">
        <v>35</v>
      </c>
      <c r="O84" s="190" t="s">
        <v>17</v>
      </c>
      <c r="P84" s="30">
        <f t="shared" si="1"/>
        <v>0.1471166637746544</v>
      </c>
      <c r="Q84" s="31"/>
      <c r="R84" s="31"/>
    </row>
    <row r="85" spans="1:18" s="58" customFormat="1" ht="15.75" customHeight="1">
      <c r="A85" s="12" t="s">
        <v>115</v>
      </c>
      <c r="B85" s="12" t="s">
        <v>23</v>
      </c>
      <c r="C85" s="98">
        <v>45507</v>
      </c>
      <c r="D85" s="187" t="s">
        <v>15</v>
      </c>
      <c r="E85" s="187" t="s">
        <v>43</v>
      </c>
      <c r="F85" s="13">
        <v>4247</v>
      </c>
      <c r="G85" s="13">
        <v>390</v>
      </c>
      <c r="H85" s="13">
        <v>213</v>
      </c>
      <c r="I85" s="13">
        <v>29785</v>
      </c>
      <c r="J85" s="13">
        <v>57768</v>
      </c>
      <c r="K85" s="13">
        <v>122</v>
      </c>
      <c r="L85" s="12" t="s">
        <v>35</v>
      </c>
      <c r="M85" s="12" t="s">
        <v>35</v>
      </c>
      <c r="N85" s="12"/>
      <c r="O85" s="190" t="s">
        <v>17</v>
      </c>
      <c r="P85" s="30">
        <f t="shared" si="1"/>
        <v>0.16283364109451065</v>
      </c>
      <c r="Q85" s="31"/>
      <c r="R85" s="31"/>
    </row>
    <row r="86" spans="1:18" s="58" customFormat="1" ht="15.75" customHeight="1">
      <c r="A86" s="12" t="s">
        <v>116</v>
      </c>
      <c r="B86" s="12" t="s">
        <v>14</v>
      </c>
      <c r="C86" s="98">
        <v>45522</v>
      </c>
      <c r="D86" s="187" t="s">
        <v>15</v>
      </c>
      <c r="E86" s="187" t="s">
        <v>19</v>
      </c>
      <c r="F86" s="13">
        <v>2965</v>
      </c>
      <c r="G86" s="13">
        <v>328</v>
      </c>
      <c r="H86" s="13">
        <v>171</v>
      </c>
      <c r="I86" s="13">
        <v>57685</v>
      </c>
      <c r="J86" s="13">
        <v>67536</v>
      </c>
      <c r="K86" s="13">
        <v>264</v>
      </c>
      <c r="L86" s="12" t="s">
        <v>370</v>
      </c>
      <c r="M86" s="12" t="s">
        <v>38</v>
      </c>
      <c r="N86" s="12" t="s">
        <v>35</v>
      </c>
      <c r="O86" s="190" t="s">
        <v>17</v>
      </c>
      <c r="P86" s="30">
        <f t="shared" si="1"/>
        <v>6.0050273034584378E-2</v>
      </c>
      <c r="Q86" s="31"/>
      <c r="R86" s="31"/>
    </row>
    <row r="87" spans="1:18" s="58" customFormat="1" ht="15.75" customHeight="1">
      <c r="A87" s="12" t="s">
        <v>117</v>
      </c>
      <c r="B87" s="12" t="s">
        <v>23</v>
      </c>
      <c r="C87" s="98">
        <v>45791</v>
      </c>
      <c r="D87" s="187" t="s">
        <v>24</v>
      </c>
      <c r="E87" s="187" t="s">
        <v>353</v>
      </c>
      <c r="F87" s="13">
        <v>1371</v>
      </c>
      <c r="G87" s="13">
        <v>139</v>
      </c>
      <c r="H87" s="13">
        <v>96</v>
      </c>
      <c r="I87" s="13">
        <v>36140</v>
      </c>
      <c r="J87" s="13">
        <v>39395</v>
      </c>
      <c r="K87" s="13">
        <v>169</v>
      </c>
      <c r="L87" s="12" t="s">
        <v>370</v>
      </c>
      <c r="M87" s="12" t="s">
        <v>38</v>
      </c>
      <c r="N87" s="12" t="s">
        <v>35</v>
      </c>
      <c r="O87" s="190" t="s">
        <v>17</v>
      </c>
      <c r="P87" s="30">
        <f t="shared" si="1"/>
        <v>4.4438295517432211E-2</v>
      </c>
      <c r="Q87" s="31"/>
      <c r="R87" s="31"/>
    </row>
    <row r="88" spans="1:18" s="58" customFormat="1" ht="15.75" customHeight="1">
      <c r="A88" s="12" t="s">
        <v>118</v>
      </c>
      <c r="B88" s="12" t="s">
        <v>23</v>
      </c>
      <c r="C88" s="98">
        <v>45405</v>
      </c>
      <c r="D88" s="187" t="s">
        <v>24</v>
      </c>
      <c r="E88" s="187" t="s">
        <v>16</v>
      </c>
      <c r="F88" s="13">
        <v>2683</v>
      </c>
      <c r="G88" s="13">
        <v>496</v>
      </c>
      <c r="H88" s="13">
        <v>89</v>
      </c>
      <c r="I88" s="13">
        <v>53435</v>
      </c>
      <c r="J88" s="13">
        <v>30334</v>
      </c>
      <c r="K88" s="13">
        <v>160</v>
      </c>
      <c r="L88" s="12" t="s">
        <v>370</v>
      </c>
      <c r="M88" s="12" t="s">
        <v>38</v>
      </c>
      <c r="N88" s="12" t="s">
        <v>35</v>
      </c>
      <c r="O88" s="190" t="s">
        <v>17</v>
      </c>
      <c r="P88" s="30">
        <f t="shared" si="1"/>
        <v>6.1158416768035934E-2</v>
      </c>
      <c r="Q88" s="31"/>
      <c r="R88" s="31"/>
    </row>
    <row r="89" spans="1:18" s="58" customFormat="1" ht="15.75" customHeight="1">
      <c r="A89" s="12" t="s">
        <v>119</v>
      </c>
      <c r="B89" s="12" t="s">
        <v>23</v>
      </c>
      <c r="C89" s="98">
        <v>45705</v>
      </c>
      <c r="D89" s="187" t="s">
        <v>24</v>
      </c>
      <c r="E89" s="187" t="s">
        <v>354</v>
      </c>
      <c r="F89" s="13">
        <v>4796</v>
      </c>
      <c r="G89" s="13">
        <v>427</v>
      </c>
      <c r="H89" s="13">
        <v>339</v>
      </c>
      <c r="I89" s="13">
        <v>30752</v>
      </c>
      <c r="J89" s="13">
        <v>33870</v>
      </c>
      <c r="K89" s="13">
        <v>298</v>
      </c>
      <c r="L89" s="12" t="s">
        <v>370</v>
      </c>
      <c r="M89" s="12" t="s">
        <v>38</v>
      </c>
      <c r="N89" s="12" t="s">
        <v>35</v>
      </c>
      <c r="O89" s="190" t="s">
        <v>17</v>
      </c>
      <c r="P89" s="30">
        <f t="shared" si="1"/>
        <v>0.18086628511966701</v>
      </c>
      <c r="Q89" s="31"/>
      <c r="R89" s="31"/>
    </row>
    <row r="90" spans="1:18" s="58" customFormat="1" ht="15.75" customHeight="1">
      <c r="A90" s="12" t="s">
        <v>120</v>
      </c>
      <c r="B90" s="12" t="s">
        <v>14</v>
      </c>
      <c r="C90" s="98">
        <v>45630</v>
      </c>
      <c r="D90" s="187" t="s">
        <v>15</v>
      </c>
      <c r="E90" s="187" t="s">
        <v>353</v>
      </c>
      <c r="F90" s="13">
        <v>2601</v>
      </c>
      <c r="G90" s="13">
        <v>336</v>
      </c>
      <c r="H90" s="13">
        <v>260</v>
      </c>
      <c r="I90" s="13">
        <v>32368</v>
      </c>
      <c r="J90" s="13">
        <v>49028</v>
      </c>
      <c r="K90" s="13">
        <v>120</v>
      </c>
      <c r="L90" s="12" t="s">
        <v>370</v>
      </c>
      <c r="M90" s="12" t="s">
        <v>38</v>
      </c>
      <c r="N90" s="12" t="s">
        <v>35</v>
      </c>
      <c r="O90" s="190" t="s">
        <v>17</v>
      </c>
      <c r="P90" s="30">
        <f t="shared" si="1"/>
        <v>9.8770390509144837E-2</v>
      </c>
      <c r="Q90" s="31"/>
      <c r="R90" s="31"/>
    </row>
    <row r="91" spans="1:18" s="58" customFormat="1" ht="15.75" customHeight="1">
      <c r="A91" s="12" t="s">
        <v>121</v>
      </c>
      <c r="B91" s="12" t="s">
        <v>23</v>
      </c>
      <c r="C91" s="98">
        <v>45495</v>
      </c>
      <c r="D91" s="187" t="s">
        <v>24</v>
      </c>
      <c r="E91" s="187" t="s">
        <v>353</v>
      </c>
      <c r="F91" s="13">
        <v>3336</v>
      </c>
      <c r="G91" s="13">
        <v>229</v>
      </c>
      <c r="H91" s="13">
        <v>337</v>
      </c>
      <c r="I91" s="13">
        <v>22117</v>
      </c>
      <c r="J91" s="13">
        <v>26205</v>
      </c>
      <c r="K91" s="13">
        <v>160</v>
      </c>
      <c r="L91" s="12" t="s">
        <v>371</v>
      </c>
      <c r="M91" s="12" t="s">
        <v>351</v>
      </c>
      <c r="N91" s="12" t="s">
        <v>35</v>
      </c>
      <c r="O91" s="190" t="s">
        <v>17</v>
      </c>
      <c r="P91" s="30">
        <f t="shared" si="1"/>
        <v>0.17642537414658407</v>
      </c>
      <c r="Q91" s="31"/>
      <c r="R91" s="31"/>
    </row>
    <row r="92" spans="1:18" s="58" customFormat="1" ht="15.75" hidden="1" customHeight="1">
      <c r="A92" s="12" t="s">
        <v>122</v>
      </c>
      <c r="B92" s="12" t="s">
        <v>23</v>
      </c>
      <c r="C92" s="98">
        <v>45774</v>
      </c>
      <c r="D92" s="12" t="s">
        <v>15</v>
      </c>
      <c r="E92" s="12" t="s">
        <v>19</v>
      </c>
      <c r="F92" s="13">
        <v>1165</v>
      </c>
      <c r="G92" s="13">
        <v>294</v>
      </c>
      <c r="H92" s="13">
        <v>163</v>
      </c>
      <c r="I92" s="13">
        <v>20659</v>
      </c>
      <c r="J92" s="13">
        <v>45926</v>
      </c>
      <c r="K92" s="13">
        <v>111</v>
      </c>
      <c r="L92" s="12" t="s">
        <v>38</v>
      </c>
      <c r="M92" s="12" t="s">
        <v>38</v>
      </c>
      <c r="N92" s="12"/>
      <c r="O92" s="69" t="s">
        <v>21</v>
      </c>
      <c r="P92" s="53">
        <f t="shared" si="1"/>
        <v>7.8512996756861422E-2</v>
      </c>
      <c r="Q92" s="31"/>
      <c r="R92" s="31"/>
    </row>
    <row r="93" spans="1:18" s="58" customFormat="1" ht="15.75" hidden="1" customHeight="1">
      <c r="A93" s="12" t="s">
        <v>123</v>
      </c>
      <c r="B93" s="12" t="s">
        <v>28</v>
      </c>
      <c r="C93" s="98">
        <v>45376</v>
      </c>
      <c r="D93" s="12" t="s">
        <v>49</v>
      </c>
      <c r="E93" s="12" t="s">
        <v>19</v>
      </c>
      <c r="F93" s="13">
        <v>1948</v>
      </c>
      <c r="G93" s="13">
        <v>155</v>
      </c>
      <c r="H93" s="13">
        <v>315</v>
      </c>
      <c r="I93" s="13">
        <v>30321</v>
      </c>
      <c r="J93" s="13">
        <v>57121</v>
      </c>
      <c r="K93" s="13">
        <v>82</v>
      </c>
      <c r="L93" s="12" t="s">
        <v>374</v>
      </c>
      <c r="M93" s="12" t="s">
        <v>20</v>
      </c>
      <c r="N93" s="12" t="s">
        <v>38</v>
      </c>
      <c r="O93" s="69" t="s">
        <v>50</v>
      </c>
      <c r="P93" s="53">
        <f t="shared" si="1"/>
        <v>7.974671020085089E-2</v>
      </c>
      <c r="Q93" s="31"/>
      <c r="R93" s="31"/>
    </row>
    <row r="94" spans="1:18" s="58" customFormat="1" ht="15.75" hidden="1" customHeight="1">
      <c r="A94" s="12" t="s">
        <v>124</v>
      </c>
      <c r="B94" s="12" t="s">
        <v>14</v>
      </c>
      <c r="C94" s="98">
        <v>45351</v>
      </c>
      <c r="D94" s="12" t="s">
        <v>15</v>
      </c>
      <c r="E94" s="12" t="s">
        <v>355</v>
      </c>
      <c r="F94" s="13">
        <v>1100</v>
      </c>
      <c r="G94" s="13">
        <v>229</v>
      </c>
      <c r="H94" s="13">
        <v>312</v>
      </c>
      <c r="I94" s="13">
        <v>25641</v>
      </c>
      <c r="J94" s="13">
        <v>34601</v>
      </c>
      <c r="K94" s="13">
        <v>169</v>
      </c>
      <c r="L94" s="12" t="s">
        <v>20</v>
      </c>
      <c r="M94" s="12" t="s">
        <v>20</v>
      </c>
      <c r="N94" s="12"/>
      <c r="O94" s="69" t="s">
        <v>21</v>
      </c>
      <c r="P94" s="53">
        <f t="shared" si="1"/>
        <v>6.3999063999063993E-2</v>
      </c>
      <c r="Q94" s="31"/>
      <c r="R94" s="31"/>
    </row>
    <row r="95" spans="1:18" s="58" customFormat="1" ht="15.75" customHeight="1">
      <c r="A95" s="12" t="s">
        <v>125</v>
      </c>
      <c r="B95" s="12" t="s">
        <v>23</v>
      </c>
      <c r="C95" s="98">
        <v>45609</v>
      </c>
      <c r="D95" s="187" t="s">
        <v>24</v>
      </c>
      <c r="E95" s="187" t="s">
        <v>34</v>
      </c>
      <c r="F95" s="13">
        <v>4628</v>
      </c>
      <c r="G95" s="13">
        <v>257</v>
      </c>
      <c r="H95" s="13">
        <v>397</v>
      </c>
      <c r="I95" s="13">
        <v>36686</v>
      </c>
      <c r="J95" s="13">
        <v>54683</v>
      </c>
      <c r="K95" s="13">
        <v>98</v>
      </c>
      <c r="L95" s="12" t="s">
        <v>370</v>
      </c>
      <c r="M95" s="12" t="s">
        <v>38</v>
      </c>
      <c r="N95" s="12" t="s">
        <v>35</v>
      </c>
      <c r="O95" s="190" t="s">
        <v>17</v>
      </c>
      <c r="P95" s="30">
        <f t="shared" si="1"/>
        <v>0.1439786294499264</v>
      </c>
      <c r="Q95" s="31"/>
      <c r="R95" s="31"/>
    </row>
    <row r="96" spans="1:18" s="58" customFormat="1" ht="15.75" hidden="1" customHeight="1">
      <c r="A96" s="12" t="s">
        <v>126</v>
      </c>
      <c r="B96" s="12" t="s">
        <v>14</v>
      </c>
      <c r="C96" s="98">
        <v>45373</v>
      </c>
      <c r="D96" s="12" t="s">
        <v>24</v>
      </c>
      <c r="E96" s="12" t="s">
        <v>16</v>
      </c>
      <c r="F96" s="13">
        <v>2319</v>
      </c>
      <c r="G96" s="13">
        <v>484</v>
      </c>
      <c r="H96" s="13">
        <v>193</v>
      </c>
      <c r="I96" s="13">
        <v>21202</v>
      </c>
      <c r="J96" s="13">
        <v>18091</v>
      </c>
      <c r="K96" s="13">
        <v>241</v>
      </c>
      <c r="L96" s="12" t="s">
        <v>35</v>
      </c>
      <c r="M96" s="12" t="s">
        <v>35</v>
      </c>
      <c r="N96" s="12"/>
      <c r="O96" s="69" t="s">
        <v>47</v>
      </c>
      <c r="P96" s="53">
        <f t="shared" si="1"/>
        <v>0.14130742382794076</v>
      </c>
      <c r="Q96" s="31"/>
      <c r="R96" s="31"/>
    </row>
    <row r="97" spans="1:18" s="58" customFormat="1" ht="15.75" customHeight="1">
      <c r="A97" s="12" t="s">
        <v>127</v>
      </c>
      <c r="B97" s="12" t="s">
        <v>23</v>
      </c>
      <c r="C97" s="98">
        <v>45367</v>
      </c>
      <c r="D97" s="187" t="s">
        <v>24</v>
      </c>
      <c r="E97" s="187" t="s">
        <v>353</v>
      </c>
      <c r="F97" s="13">
        <v>2895</v>
      </c>
      <c r="G97" s="13">
        <v>292</v>
      </c>
      <c r="H97" s="13">
        <v>90</v>
      </c>
      <c r="I97" s="13">
        <v>24223</v>
      </c>
      <c r="J97" s="13">
        <v>54626</v>
      </c>
      <c r="K97" s="13">
        <v>114</v>
      </c>
      <c r="L97" s="12" t="s">
        <v>370</v>
      </c>
      <c r="M97" s="12" t="s">
        <v>38</v>
      </c>
      <c r="N97" s="12" t="s">
        <v>35</v>
      </c>
      <c r="O97" s="190" t="s">
        <v>17</v>
      </c>
      <c r="P97" s="30">
        <f t="shared" si="1"/>
        <v>0.13528464682326713</v>
      </c>
      <c r="Q97" s="31"/>
      <c r="R97" s="31"/>
    </row>
    <row r="98" spans="1:18" s="58" customFormat="1" ht="15.75" hidden="1" customHeight="1">
      <c r="A98" s="12" t="s">
        <v>128</v>
      </c>
      <c r="B98" s="12" t="s">
        <v>14</v>
      </c>
      <c r="C98" s="98">
        <v>45317</v>
      </c>
      <c r="D98" s="12" t="s">
        <v>15</v>
      </c>
      <c r="E98" s="12" t="s">
        <v>354</v>
      </c>
      <c r="F98" s="13">
        <v>3878</v>
      </c>
      <c r="G98" s="13">
        <v>431</v>
      </c>
      <c r="H98" s="13">
        <v>97</v>
      </c>
      <c r="I98" s="13">
        <v>41763</v>
      </c>
      <c r="J98" s="13">
        <v>29729</v>
      </c>
      <c r="K98" s="13">
        <v>191</v>
      </c>
      <c r="L98" s="12" t="s">
        <v>20</v>
      </c>
      <c r="M98" s="12" t="s">
        <v>20</v>
      </c>
      <c r="N98" s="12"/>
      <c r="O98" s="69" t="s">
        <v>21</v>
      </c>
      <c r="P98" s="53">
        <f t="shared" si="1"/>
        <v>0.10550008380623997</v>
      </c>
      <c r="Q98" s="31"/>
      <c r="R98" s="31"/>
    </row>
    <row r="99" spans="1:18" s="58" customFormat="1" ht="15.75" customHeight="1">
      <c r="A99" s="12" t="s">
        <v>129</v>
      </c>
      <c r="B99" s="12" t="s">
        <v>23</v>
      </c>
      <c r="C99" s="98">
        <v>45366</v>
      </c>
      <c r="D99" s="187" t="s">
        <v>24</v>
      </c>
      <c r="E99" s="187" t="s">
        <v>31</v>
      </c>
      <c r="F99" s="13">
        <v>4969</v>
      </c>
      <c r="G99" s="13">
        <v>433</v>
      </c>
      <c r="H99" s="13">
        <v>237</v>
      </c>
      <c r="I99" s="13">
        <v>59552</v>
      </c>
      <c r="J99" s="13">
        <v>23885</v>
      </c>
      <c r="K99" s="13">
        <v>157</v>
      </c>
      <c r="L99" s="12" t="s">
        <v>373</v>
      </c>
      <c r="M99" s="12" t="s">
        <v>20</v>
      </c>
      <c r="N99" s="12" t="s">
        <v>351</v>
      </c>
      <c r="O99" s="190" t="s">
        <v>17</v>
      </c>
      <c r="P99" s="30">
        <f t="shared" si="1"/>
        <v>9.4690354648038683E-2</v>
      </c>
      <c r="Q99" s="31"/>
      <c r="R99" s="31"/>
    </row>
    <row r="100" spans="1:18" s="58" customFormat="1" ht="15.75" customHeight="1">
      <c r="A100" s="12" t="s">
        <v>130</v>
      </c>
      <c r="B100" s="12" t="s">
        <v>23</v>
      </c>
      <c r="C100" s="98">
        <v>45580</v>
      </c>
      <c r="D100" s="187" t="s">
        <v>15</v>
      </c>
      <c r="E100" s="187" t="s">
        <v>353</v>
      </c>
      <c r="F100" s="13">
        <v>1984</v>
      </c>
      <c r="G100" s="13">
        <v>481</v>
      </c>
      <c r="H100" s="13">
        <v>356</v>
      </c>
      <c r="I100" s="13">
        <v>40681</v>
      </c>
      <c r="J100" s="13">
        <v>63111</v>
      </c>
      <c r="K100" s="13">
        <v>258</v>
      </c>
      <c r="L100" s="12" t="s">
        <v>35</v>
      </c>
      <c r="M100" s="12" t="s">
        <v>35</v>
      </c>
      <c r="N100" s="12"/>
      <c r="O100" s="190" t="s">
        <v>17</v>
      </c>
      <c r="P100" s="30">
        <f t="shared" si="1"/>
        <v>6.934441139598338E-2</v>
      </c>
      <c r="Q100" s="31"/>
      <c r="R100" s="31"/>
    </row>
    <row r="101" spans="1:18" s="58" customFormat="1" ht="15.75" hidden="1" customHeight="1">
      <c r="A101" s="12" t="s">
        <v>131</v>
      </c>
      <c r="B101" s="12" t="s">
        <v>14</v>
      </c>
      <c r="C101" s="98">
        <v>45494</v>
      </c>
      <c r="D101" s="12" t="s">
        <v>15</v>
      </c>
      <c r="E101" s="12" t="s">
        <v>16</v>
      </c>
      <c r="F101" s="13">
        <v>3004</v>
      </c>
      <c r="G101" s="13">
        <v>415</v>
      </c>
      <c r="H101" s="13">
        <v>218</v>
      </c>
      <c r="I101" s="13">
        <v>36090</v>
      </c>
      <c r="J101" s="13">
        <v>37073</v>
      </c>
      <c r="K101" s="13">
        <v>181</v>
      </c>
      <c r="L101" s="12" t="s">
        <v>20</v>
      </c>
      <c r="M101" s="12" t="s">
        <v>20</v>
      </c>
      <c r="N101" s="12"/>
      <c r="O101" s="69" t="s">
        <v>21</v>
      </c>
      <c r="P101" s="53">
        <f t="shared" si="1"/>
        <v>0.10077583818232197</v>
      </c>
      <c r="Q101" s="31"/>
      <c r="R101" s="31"/>
    </row>
    <row r="102" spans="1:18" s="58" customFormat="1" ht="15.75" customHeight="1">
      <c r="A102" s="12" t="s">
        <v>132</v>
      </c>
      <c r="B102" s="12" t="s">
        <v>23</v>
      </c>
      <c r="C102" s="98">
        <v>45577</v>
      </c>
      <c r="D102" s="187" t="s">
        <v>15</v>
      </c>
      <c r="E102" s="187" t="s">
        <v>31</v>
      </c>
      <c r="F102" s="13">
        <v>3169</v>
      </c>
      <c r="G102" s="13">
        <v>386</v>
      </c>
      <c r="H102" s="13">
        <v>175</v>
      </c>
      <c r="I102" s="13">
        <v>45012</v>
      </c>
      <c r="J102" s="13">
        <v>38508</v>
      </c>
      <c r="K102" s="13">
        <v>218</v>
      </c>
      <c r="L102" s="12" t="s">
        <v>35</v>
      </c>
      <c r="M102" s="12" t="s">
        <v>35</v>
      </c>
      <c r="N102" s="12"/>
      <c r="O102" s="190" t="s">
        <v>17</v>
      </c>
      <c r="P102" s="30">
        <f t="shared" si="1"/>
        <v>8.2866791077934779E-2</v>
      </c>
      <c r="Q102" s="31"/>
      <c r="R102" s="31"/>
    </row>
    <row r="103" spans="1:18" s="58" customFormat="1" ht="15.75" customHeight="1">
      <c r="A103" s="12" t="s">
        <v>133</v>
      </c>
      <c r="B103" s="12" t="s">
        <v>23</v>
      </c>
      <c r="C103" s="98">
        <v>45591</v>
      </c>
      <c r="D103" s="187" t="s">
        <v>15</v>
      </c>
      <c r="E103" s="187" t="s">
        <v>16</v>
      </c>
      <c r="F103" s="13">
        <v>3036</v>
      </c>
      <c r="G103" s="13">
        <v>293</v>
      </c>
      <c r="H103" s="13">
        <v>115</v>
      </c>
      <c r="I103" s="13">
        <v>23776</v>
      </c>
      <c r="J103" s="13">
        <v>46386</v>
      </c>
      <c r="K103" s="13">
        <v>282</v>
      </c>
      <c r="L103" s="12" t="s">
        <v>35</v>
      </c>
      <c r="M103" s="12" t="s">
        <v>35</v>
      </c>
      <c r="N103" s="12"/>
      <c r="O103" s="190" t="s">
        <v>17</v>
      </c>
      <c r="P103" s="30">
        <f t="shared" si="1"/>
        <v>0.14485195154777927</v>
      </c>
      <c r="Q103" s="31"/>
      <c r="R103" s="31"/>
    </row>
    <row r="104" spans="1:18" s="58" customFormat="1" ht="15.75" customHeight="1">
      <c r="A104" s="12" t="s">
        <v>134</v>
      </c>
      <c r="B104" s="12" t="s">
        <v>14</v>
      </c>
      <c r="C104" s="98">
        <v>45336</v>
      </c>
      <c r="D104" s="187" t="s">
        <v>15</v>
      </c>
      <c r="E104" s="187" t="s">
        <v>356</v>
      </c>
      <c r="F104" s="13">
        <v>1830</v>
      </c>
      <c r="G104" s="13">
        <v>112</v>
      </c>
      <c r="H104" s="13">
        <v>181</v>
      </c>
      <c r="I104" s="13">
        <v>31870</v>
      </c>
      <c r="J104" s="13">
        <v>55742</v>
      </c>
      <c r="K104" s="13">
        <v>263</v>
      </c>
      <c r="L104" s="12" t="s">
        <v>370</v>
      </c>
      <c r="M104" s="12" t="s">
        <v>38</v>
      </c>
      <c r="N104" s="12" t="s">
        <v>35</v>
      </c>
      <c r="O104" s="190" t="s">
        <v>17</v>
      </c>
      <c r="P104" s="30">
        <f t="shared" si="1"/>
        <v>6.6614370881706936E-2</v>
      </c>
      <c r="Q104" s="31"/>
      <c r="R104" s="31"/>
    </row>
    <row r="105" spans="1:18" s="58" customFormat="1" ht="15.75" customHeight="1">
      <c r="A105" s="12" t="s">
        <v>135</v>
      </c>
      <c r="B105" s="12" t="s">
        <v>23</v>
      </c>
      <c r="C105" s="98">
        <v>45413</v>
      </c>
      <c r="D105" s="187" t="s">
        <v>24</v>
      </c>
      <c r="E105" s="187" t="s">
        <v>354</v>
      </c>
      <c r="F105" s="13">
        <v>2587</v>
      </c>
      <c r="G105" s="13">
        <v>447</v>
      </c>
      <c r="H105" s="13">
        <v>183</v>
      </c>
      <c r="I105" s="13">
        <v>36266</v>
      </c>
      <c r="J105" s="13">
        <v>32877</v>
      </c>
      <c r="K105" s="13">
        <v>132</v>
      </c>
      <c r="L105" s="12" t="s">
        <v>373</v>
      </c>
      <c r="M105" s="12" t="s">
        <v>20</v>
      </c>
      <c r="N105" s="12" t="s">
        <v>351</v>
      </c>
      <c r="O105" s="190" t="s">
        <v>17</v>
      </c>
      <c r="P105" s="30">
        <f t="shared" si="1"/>
        <v>8.8705674736667947E-2</v>
      </c>
      <c r="Q105" s="31"/>
      <c r="R105" s="31"/>
    </row>
    <row r="106" spans="1:18" s="58" customFormat="1" ht="15.75" customHeight="1">
      <c r="A106" s="12" t="s">
        <v>136</v>
      </c>
      <c r="B106" s="12" t="s">
        <v>23</v>
      </c>
      <c r="C106" s="98">
        <v>45553</v>
      </c>
      <c r="D106" s="187" t="s">
        <v>15</v>
      </c>
      <c r="E106" s="187" t="s">
        <v>16</v>
      </c>
      <c r="F106" s="13">
        <v>2878</v>
      </c>
      <c r="G106" s="13">
        <v>265</v>
      </c>
      <c r="H106" s="13">
        <v>91</v>
      </c>
      <c r="I106" s="13">
        <v>52090</v>
      </c>
      <c r="J106" s="13">
        <v>28924</v>
      </c>
      <c r="K106" s="13">
        <v>133</v>
      </c>
      <c r="L106" s="12" t="s">
        <v>35</v>
      </c>
      <c r="M106" s="12" t="s">
        <v>35</v>
      </c>
      <c r="N106" s="12"/>
      <c r="O106" s="190" t="s">
        <v>17</v>
      </c>
      <c r="P106" s="30">
        <f t="shared" si="1"/>
        <v>6.2084853138798232E-2</v>
      </c>
      <c r="Q106" s="31"/>
      <c r="R106" s="31"/>
    </row>
    <row r="107" spans="1:18" s="58" customFormat="1" ht="15.75" customHeight="1">
      <c r="A107" s="12" t="s">
        <v>137</v>
      </c>
      <c r="B107" s="12" t="s">
        <v>23</v>
      </c>
      <c r="C107" s="98">
        <v>45677</v>
      </c>
      <c r="D107" s="187" t="s">
        <v>24</v>
      </c>
      <c r="E107" s="187" t="s">
        <v>25</v>
      </c>
      <c r="F107" s="13">
        <v>4619</v>
      </c>
      <c r="G107" s="13">
        <v>272</v>
      </c>
      <c r="H107" s="13">
        <v>57</v>
      </c>
      <c r="I107" s="13">
        <v>21334</v>
      </c>
      <c r="J107" s="13">
        <v>46292</v>
      </c>
      <c r="K107" s="13">
        <v>91</v>
      </c>
      <c r="L107" s="12" t="s">
        <v>370</v>
      </c>
      <c r="M107" s="12" t="s">
        <v>38</v>
      </c>
      <c r="N107" s="12" t="s">
        <v>35</v>
      </c>
      <c r="O107" s="190" t="s">
        <v>17</v>
      </c>
      <c r="P107" s="30">
        <f t="shared" si="1"/>
        <v>0.23193025217961938</v>
      </c>
      <c r="Q107" s="31"/>
      <c r="R107" s="93"/>
    </row>
    <row r="108" spans="1:18" s="58" customFormat="1" ht="15.75" hidden="1" customHeight="1">
      <c r="A108" s="12" t="s">
        <v>138</v>
      </c>
      <c r="B108" s="12" t="s">
        <v>23</v>
      </c>
      <c r="C108" s="98">
        <v>45670</v>
      </c>
      <c r="D108" s="12" t="s">
        <v>15</v>
      </c>
      <c r="E108" s="12" t="s">
        <v>356</v>
      </c>
      <c r="F108" s="13">
        <v>4090</v>
      </c>
      <c r="G108" s="13">
        <v>209</v>
      </c>
      <c r="H108" s="13">
        <v>278</v>
      </c>
      <c r="I108" s="13">
        <v>52853</v>
      </c>
      <c r="J108" s="13">
        <v>57084</v>
      </c>
      <c r="K108" s="13">
        <v>102</v>
      </c>
      <c r="L108" s="12" t="s">
        <v>38</v>
      </c>
      <c r="M108" s="12" t="s">
        <v>38</v>
      </c>
      <c r="N108" s="12"/>
      <c r="O108" s="69" t="s">
        <v>21</v>
      </c>
      <c r="P108" s="53">
        <f t="shared" si="1"/>
        <v>8.6598679355949518E-2</v>
      </c>
      <c r="Q108" s="31"/>
      <c r="R108" s="31"/>
    </row>
    <row r="109" spans="1:18" s="58" customFormat="1" ht="15.75" hidden="1" customHeight="1">
      <c r="A109" s="12" t="s">
        <v>139</v>
      </c>
      <c r="B109" s="12" t="s">
        <v>28</v>
      </c>
      <c r="C109" s="98">
        <v>45542</v>
      </c>
      <c r="D109" s="12" t="s">
        <v>49</v>
      </c>
      <c r="E109" s="12" t="s">
        <v>356</v>
      </c>
      <c r="F109" s="13">
        <v>3882</v>
      </c>
      <c r="G109" s="13">
        <v>342</v>
      </c>
      <c r="H109" s="13">
        <v>374</v>
      </c>
      <c r="I109" s="13">
        <v>41991</v>
      </c>
      <c r="J109" s="13">
        <v>48554</v>
      </c>
      <c r="K109" s="13">
        <v>118</v>
      </c>
      <c r="L109" s="12" t="s">
        <v>374</v>
      </c>
      <c r="M109" s="12" t="s">
        <v>20</v>
      </c>
      <c r="N109" s="12" t="s">
        <v>38</v>
      </c>
      <c r="O109" s="69" t="s">
        <v>50</v>
      </c>
      <c r="P109" s="53">
        <f t="shared" si="1"/>
        <v>0.10949965468790931</v>
      </c>
      <c r="Q109" s="31"/>
      <c r="R109" s="31"/>
    </row>
    <row r="110" spans="1:18" s="58" customFormat="1" ht="15.75" customHeight="1">
      <c r="A110" s="12" t="s">
        <v>140</v>
      </c>
      <c r="B110" s="12" t="s">
        <v>14</v>
      </c>
      <c r="C110" s="98">
        <v>45617</v>
      </c>
      <c r="D110" s="187" t="s">
        <v>15</v>
      </c>
      <c r="E110" s="187" t="s">
        <v>356</v>
      </c>
      <c r="F110" s="13">
        <v>4581</v>
      </c>
      <c r="G110" s="13">
        <v>181</v>
      </c>
      <c r="H110" s="13">
        <v>112</v>
      </c>
      <c r="I110" s="13">
        <v>35221</v>
      </c>
      <c r="J110" s="13">
        <v>28797</v>
      </c>
      <c r="K110" s="13">
        <v>164</v>
      </c>
      <c r="L110" s="12" t="s">
        <v>370</v>
      </c>
      <c r="M110" s="12" t="s">
        <v>38</v>
      </c>
      <c r="N110" s="12" t="s">
        <v>35</v>
      </c>
      <c r="O110" s="190" t="s">
        <v>17</v>
      </c>
      <c r="P110" s="30">
        <f t="shared" si="1"/>
        <v>0.13838335084182732</v>
      </c>
      <c r="Q110" s="31"/>
      <c r="R110" s="31"/>
    </row>
    <row r="111" spans="1:18" s="58" customFormat="1" ht="15.75" hidden="1" customHeight="1">
      <c r="A111" s="12" t="s">
        <v>141</v>
      </c>
      <c r="B111" s="12" t="s">
        <v>14</v>
      </c>
      <c r="C111" s="98">
        <v>45469</v>
      </c>
      <c r="D111" s="12" t="s">
        <v>15</v>
      </c>
      <c r="E111" s="12" t="s">
        <v>25</v>
      </c>
      <c r="F111" s="13">
        <v>3253</v>
      </c>
      <c r="G111" s="13">
        <v>483</v>
      </c>
      <c r="H111" s="13">
        <v>336</v>
      </c>
      <c r="I111" s="13">
        <v>25397</v>
      </c>
      <c r="J111" s="13">
        <v>51485</v>
      </c>
      <c r="K111" s="13">
        <v>131</v>
      </c>
      <c r="L111" s="12" t="s">
        <v>20</v>
      </c>
      <c r="M111" s="12" t="s">
        <v>20</v>
      </c>
      <c r="N111" s="12"/>
      <c r="O111" s="69" t="s">
        <v>21</v>
      </c>
      <c r="P111" s="53">
        <f t="shared" si="1"/>
        <v>0.16033389770445328</v>
      </c>
      <c r="Q111" s="31"/>
      <c r="R111" s="31"/>
    </row>
    <row r="112" spans="1:18" s="58" customFormat="1" ht="15.75" hidden="1" customHeight="1">
      <c r="A112" s="12" t="s">
        <v>142</v>
      </c>
      <c r="B112" s="12" t="s">
        <v>28</v>
      </c>
      <c r="C112" s="98">
        <v>45493</v>
      </c>
      <c r="D112" s="12" t="s">
        <v>49</v>
      </c>
      <c r="E112" s="12" t="s">
        <v>356</v>
      </c>
      <c r="F112" s="13">
        <v>4955</v>
      </c>
      <c r="G112" s="13">
        <v>299</v>
      </c>
      <c r="H112" s="13">
        <v>345</v>
      </c>
      <c r="I112" s="13">
        <v>33644</v>
      </c>
      <c r="J112" s="13">
        <v>43547</v>
      </c>
      <c r="K112" s="13">
        <v>194</v>
      </c>
      <c r="L112" s="12" t="s">
        <v>374</v>
      </c>
      <c r="M112" s="12" t="s">
        <v>20</v>
      </c>
      <c r="N112" s="12" t="s">
        <v>38</v>
      </c>
      <c r="O112" s="69" t="s">
        <v>50</v>
      </c>
      <c r="P112" s="53">
        <f t="shared" si="1"/>
        <v>0.16641897515158721</v>
      </c>
      <c r="Q112" s="31"/>
      <c r="R112" s="31"/>
    </row>
    <row r="113" spans="1:18" s="58" customFormat="1" ht="15.75" customHeight="1">
      <c r="A113" s="12" t="s">
        <v>143</v>
      </c>
      <c r="B113" s="12" t="s">
        <v>14</v>
      </c>
      <c r="C113" s="98">
        <v>45704</v>
      </c>
      <c r="D113" s="187" t="s">
        <v>15</v>
      </c>
      <c r="E113" s="187" t="s">
        <v>43</v>
      </c>
      <c r="F113" s="13">
        <v>1333</v>
      </c>
      <c r="G113" s="13">
        <v>286</v>
      </c>
      <c r="H113" s="13">
        <v>298</v>
      </c>
      <c r="I113" s="13">
        <v>36174</v>
      </c>
      <c r="J113" s="13">
        <v>34517</v>
      </c>
      <c r="K113" s="13">
        <v>170</v>
      </c>
      <c r="L113" s="12" t="s">
        <v>370</v>
      </c>
      <c r="M113" s="12" t="s">
        <v>38</v>
      </c>
      <c r="N113" s="12" t="s">
        <v>35</v>
      </c>
      <c r="O113" s="190" t="s">
        <v>17</v>
      </c>
      <c r="P113" s="30">
        <f t="shared" si="1"/>
        <v>5.2993862995521647E-2</v>
      </c>
      <c r="Q113" s="31"/>
      <c r="R113" s="31"/>
    </row>
    <row r="114" spans="1:18" s="58" customFormat="1" ht="15.75" customHeight="1">
      <c r="A114" s="12" t="s">
        <v>144</v>
      </c>
      <c r="B114" s="12" t="s">
        <v>14</v>
      </c>
      <c r="C114" s="98">
        <v>45544</v>
      </c>
      <c r="D114" s="187" t="s">
        <v>15</v>
      </c>
      <c r="E114" s="187" t="s">
        <v>25</v>
      </c>
      <c r="F114" s="13">
        <v>1616</v>
      </c>
      <c r="G114" s="13">
        <v>360</v>
      </c>
      <c r="H114" s="13">
        <v>180</v>
      </c>
      <c r="I114" s="13">
        <v>54342</v>
      </c>
      <c r="J114" s="13">
        <v>18796</v>
      </c>
      <c r="K114" s="13">
        <v>282</v>
      </c>
      <c r="L114" s="12" t="s">
        <v>370</v>
      </c>
      <c r="M114" s="12" t="s">
        <v>38</v>
      </c>
      <c r="N114" s="12" t="s">
        <v>35</v>
      </c>
      <c r="O114" s="190" t="s">
        <v>17</v>
      </c>
      <c r="P114" s="30">
        <f t="shared" si="1"/>
        <v>3.9674653122814763E-2</v>
      </c>
      <c r="Q114" s="31"/>
      <c r="R114" s="31"/>
    </row>
    <row r="115" spans="1:18" s="58" customFormat="1" ht="15.75" customHeight="1">
      <c r="A115" s="12" t="s">
        <v>145</v>
      </c>
      <c r="B115" s="12" t="s">
        <v>23</v>
      </c>
      <c r="C115" s="98">
        <v>45489</v>
      </c>
      <c r="D115" s="187" t="s">
        <v>15</v>
      </c>
      <c r="E115" s="187" t="s">
        <v>34</v>
      </c>
      <c r="F115" s="13">
        <v>1803</v>
      </c>
      <c r="G115" s="13">
        <v>273</v>
      </c>
      <c r="H115" s="13">
        <v>287</v>
      </c>
      <c r="I115" s="13">
        <v>46176</v>
      </c>
      <c r="J115" s="13">
        <v>25488</v>
      </c>
      <c r="K115" s="13">
        <v>141</v>
      </c>
      <c r="L115" s="12" t="s">
        <v>35</v>
      </c>
      <c r="M115" s="12" t="s">
        <v>35</v>
      </c>
      <c r="N115" s="12"/>
      <c r="O115" s="190" t="s">
        <v>17</v>
      </c>
      <c r="P115" s="30">
        <f t="shared" si="1"/>
        <v>5.1173769923769923E-2</v>
      </c>
      <c r="Q115" s="31"/>
      <c r="R115" s="31"/>
    </row>
    <row r="116" spans="1:18" s="58" customFormat="1" ht="15.75" hidden="1" customHeight="1">
      <c r="A116" s="12" t="s">
        <v>146</v>
      </c>
      <c r="B116" s="12" t="s">
        <v>14</v>
      </c>
      <c r="C116" s="98">
        <v>45762</v>
      </c>
      <c r="D116" s="12" t="s">
        <v>15</v>
      </c>
      <c r="E116" s="12" t="s">
        <v>19</v>
      </c>
      <c r="F116" s="13">
        <v>4177</v>
      </c>
      <c r="G116" s="13">
        <v>489</v>
      </c>
      <c r="H116" s="13">
        <v>331</v>
      </c>
      <c r="I116" s="13">
        <v>57451</v>
      </c>
      <c r="J116" s="13">
        <v>73793</v>
      </c>
      <c r="K116" s="13">
        <v>251</v>
      </c>
      <c r="L116" s="12" t="s">
        <v>20</v>
      </c>
      <c r="M116" s="12" t="s">
        <v>20</v>
      </c>
      <c r="N116" s="12"/>
      <c r="O116" s="69" t="s">
        <v>21</v>
      </c>
      <c r="P116" s="53">
        <f t="shared" si="1"/>
        <v>8.6978468608031198E-2</v>
      </c>
      <c r="Q116" s="31"/>
      <c r="R116" s="31"/>
    </row>
    <row r="117" spans="1:18" s="58" customFormat="1" ht="15.75" hidden="1" customHeight="1">
      <c r="A117" s="12" t="s">
        <v>147</v>
      </c>
      <c r="B117" s="12" t="s">
        <v>14</v>
      </c>
      <c r="C117" s="98">
        <v>45781</v>
      </c>
      <c r="D117" s="12" t="s">
        <v>24</v>
      </c>
      <c r="E117" s="12" t="s">
        <v>25</v>
      </c>
      <c r="F117" s="13">
        <v>1311</v>
      </c>
      <c r="G117" s="13">
        <v>181</v>
      </c>
      <c r="H117" s="13">
        <v>361</v>
      </c>
      <c r="I117" s="13">
        <v>37148</v>
      </c>
      <c r="J117" s="13">
        <v>44875</v>
      </c>
      <c r="K117" s="13">
        <v>245</v>
      </c>
      <c r="L117" s="12" t="s">
        <v>35</v>
      </c>
      <c r="M117" s="12" t="s">
        <v>35</v>
      </c>
      <c r="N117" s="12"/>
      <c r="O117" s="69" t="s">
        <v>47</v>
      </c>
      <c r="P117" s="53">
        <f t="shared" si="1"/>
        <v>4.9881554861634543E-2</v>
      </c>
      <c r="Q117" s="31"/>
      <c r="R117" s="31"/>
    </row>
    <row r="118" spans="1:18" s="58" customFormat="1" ht="15.75" hidden="1" customHeight="1">
      <c r="A118" s="12" t="s">
        <v>148</v>
      </c>
      <c r="B118" s="12" t="s">
        <v>14</v>
      </c>
      <c r="C118" s="98">
        <v>45340</v>
      </c>
      <c r="D118" s="12" t="s">
        <v>24</v>
      </c>
      <c r="E118" s="12" t="s">
        <v>355</v>
      </c>
      <c r="F118" s="13">
        <v>1516</v>
      </c>
      <c r="G118" s="13">
        <v>215</v>
      </c>
      <c r="H118" s="13">
        <v>332</v>
      </c>
      <c r="I118" s="13">
        <v>58981</v>
      </c>
      <c r="J118" s="13">
        <v>36118</v>
      </c>
      <c r="K118" s="13">
        <v>211</v>
      </c>
      <c r="L118" s="12" t="s">
        <v>35</v>
      </c>
      <c r="M118" s="12" t="s">
        <v>35</v>
      </c>
      <c r="N118" s="12"/>
      <c r="O118" s="69" t="s">
        <v>47</v>
      </c>
      <c r="P118" s="53">
        <f t="shared" si="1"/>
        <v>3.4977365592309385E-2</v>
      </c>
      <c r="Q118" s="31"/>
      <c r="R118" s="31"/>
    </row>
    <row r="119" spans="1:18" s="58" customFormat="1" ht="15.75" customHeight="1">
      <c r="A119" s="12" t="s">
        <v>149</v>
      </c>
      <c r="B119" s="12" t="s">
        <v>23</v>
      </c>
      <c r="C119" s="98">
        <v>45428</v>
      </c>
      <c r="D119" s="187" t="s">
        <v>24</v>
      </c>
      <c r="E119" s="187" t="s">
        <v>356</v>
      </c>
      <c r="F119" s="13">
        <v>2023</v>
      </c>
      <c r="G119" s="13">
        <v>124</v>
      </c>
      <c r="H119" s="13">
        <v>99</v>
      </c>
      <c r="I119" s="13">
        <v>54524</v>
      </c>
      <c r="J119" s="13">
        <v>34790</v>
      </c>
      <c r="K119" s="13">
        <v>195</v>
      </c>
      <c r="L119" s="12" t="s">
        <v>373</v>
      </c>
      <c r="M119" s="12" t="s">
        <v>20</v>
      </c>
      <c r="N119" s="12" t="s">
        <v>351</v>
      </c>
      <c r="O119" s="190" t="s">
        <v>17</v>
      </c>
      <c r="P119" s="30">
        <f t="shared" si="1"/>
        <v>4.1192869195216787E-2</v>
      </c>
      <c r="Q119" s="31"/>
      <c r="R119" s="31"/>
    </row>
    <row r="120" spans="1:18" s="58" customFormat="1" ht="15.75" customHeight="1">
      <c r="A120" s="12" t="s">
        <v>150</v>
      </c>
      <c r="B120" s="12" t="s">
        <v>23</v>
      </c>
      <c r="C120" s="98">
        <v>45806</v>
      </c>
      <c r="D120" s="187" t="s">
        <v>24</v>
      </c>
      <c r="E120" s="187" t="s">
        <v>356</v>
      </c>
      <c r="F120" s="13">
        <v>2134</v>
      </c>
      <c r="G120" s="13">
        <v>322</v>
      </c>
      <c r="H120" s="13">
        <v>114</v>
      </c>
      <c r="I120" s="13">
        <v>44338</v>
      </c>
      <c r="J120" s="13">
        <v>52165</v>
      </c>
      <c r="K120" s="13">
        <v>176</v>
      </c>
      <c r="L120" s="12" t="s">
        <v>371</v>
      </c>
      <c r="M120" s="12" t="s">
        <v>351</v>
      </c>
      <c r="N120" s="12" t="s">
        <v>35</v>
      </c>
      <c r="O120" s="190" t="s">
        <v>17</v>
      </c>
      <c r="P120" s="30">
        <f t="shared" si="1"/>
        <v>5.7963823356939871E-2</v>
      </c>
      <c r="Q120" s="31"/>
      <c r="R120" s="31"/>
    </row>
    <row r="121" spans="1:18" s="58" customFormat="1" ht="15.75" hidden="1" customHeight="1">
      <c r="A121" s="12" t="s">
        <v>151</v>
      </c>
      <c r="B121" s="12" t="s">
        <v>14</v>
      </c>
      <c r="C121" s="98">
        <v>45674</v>
      </c>
      <c r="D121" s="12" t="s">
        <v>15</v>
      </c>
      <c r="E121" s="12" t="s">
        <v>34</v>
      </c>
      <c r="F121" s="13">
        <v>2266</v>
      </c>
      <c r="G121" s="13">
        <v>126</v>
      </c>
      <c r="H121" s="13">
        <v>140</v>
      </c>
      <c r="I121" s="13">
        <v>53759</v>
      </c>
      <c r="J121" s="13">
        <v>46834</v>
      </c>
      <c r="K121" s="13">
        <v>277</v>
      </c>
      <c r="L121" s="12" t="s">
        <v>20</v>
      </c>
      <c r="M121" s="12" t="s">
        <v>20</v>
      </c>
      <c r="N121" s="12"/>
      <c r="O121" s="69" t="s">
        <v>21</v>
      </c>
      <c r="P121" s="53">
        <f t="shared" si="1"/>
        <v>4.7099090384865788E-2</v>
      </c>
      <c r="Q121" s="31"/>
      <c r="R121" s="31"/>
    </row>
    <row r="122" spans="1:18" s="58" customFormat="1" ht="15.75" hidden="1" customHeight="1">
      <c r="A122" s="12" t="s">
        <v>152</v>
      </c>
      <c r="B122" s="12" t="s">
        <v>14</v>
      </c>
      <c r="C122" s="98">
        <v>45777</v>
      </c>
      <c r="D122" s="12" t="s">
        <v>24</v>
      </c>
      <c r="E122" s="12" t="s">
        <v>25</v>
      </c>
      <c r="F122" s="13">
        <v>3916</v>
      </c>
      <c r="G122" s="13">
        <v>459</v>
      </c>
      <c r="H122" s="13">
        <v>229</v>
      </c>
      <c r="I122" s="13">
        <v>48989</v>
      </c>
      <c r="J122" s="13">
        <v>39768</v>
      </c>
      <c r="K122" s="13">
        <v>200</v>
      </c>
      <c r="L122" s="12" t="s">
        <v>35</v>
      </c>
      <c r="M122" s="12" t="s">
        <v>35</v>
      </c>
      <c r="N122" s="12"/>
      <c r="O122" s="69" t="s">
        <v>47</v>
      </c>
      <c r="P122" s="53">
        <f t="shared" si="1"/>
        <v>9.3980281287635997E-2</v>
      </c>
      <c r="Q122" s="31"/>
      <c r="R122" s="31"/>
    </row>
    <row r="123" spans="1:18" s="58" customFormat="1" ht="15.75" customHeight="1">
      <c r="A123" s="12" t="s">
        <v>153</v>
      </c>
      <c r="B123" s="12" t="s">
        <v>23</v>
      </c>
      <c r="C123" s="98">
        <v>45346</v>
      </c>
      <c r="D123" s="187" t="s">
        <v>24</v>
      </c>
      <c r="E123" s="187" t="s">
        <v>356</v>
      </c>
      <c r="F123" s="13">
        <v>1022</v>
      </c>
      <c r="G123" s="13">
        <v>463</v>
      </c>
      <c r="H123" s="13">
        <v>360</v>
      </c>
      <c r="I123" s="13">
        <v>51468</v>
      </c>
      <c r="J123" s="13">
        <v>24279</v>
      </c>
      <c r="K123" s="13">
        <v>230</v>
      </c>
      <c r="L123" s="12" t="s">
        <v>373</v>
      </c>
      <c r="M123" s="12" t="s">
        <v>20</v>
      </c>
      <c r="N123" s="12" t="s">
        <v>351</v>
      </c>
      <c r="O123" s="190" t="s">
        <v>17</v>
      </c>
      <c r="P123" s="30">
        <f t="shared" si="1"/>
        <v>3.5847516903707161E-2</v>
      </c>
      <c r="Q123" s="31"/>
      <c r="R123" s="31"/>
    </row>
    <row r="124" spans="1:18" s="58" customFormat="1" ht="15.75" hidden="1" customHeight="1">
      <c r="A124" s="12" t="s">
        <v>154</v>
      </c>
      <c r="B124" s="12" t="s">
        <v>28</v>
      </c>
      <c r="C124" s="98">
        <v>45424</v>
      </c>
      <c r="D124" s="12" t="s">
        <v>15</v>
      </c>
      <c r="E124" s="12" t="s">
        <v>355</v>
      </c>
      <c r="F124" s="13">
        <v>2911</v>
      </c>
      <c r="G124" s="13">
        <v>467</v>
      </c>
      <c r="H124" s="13">
        <v>94</v>
      </c>
      <c r="I124" s="13">
        <v>59083</v>
      </c>
      <c r="J124" s="13">
        <v>49762</v>
      </c>
      <c r="K124" s="13">
        <v>236</v>
      </c>
      <c r="L124" s="12" t="s">
        <v>372</v>
      </c>
      <c r="M124" s="12" t="s">
        <v>20</v>
      </c>
      <c r="N124" s="12" t="s">
        <v>352</v>
      </c>
      <c r="O124" s="69" t="s">
        <v>21</v>
      </c>
      <c r="P124" s="53">
        <f t="shared" si="1"/>
        <v>5.8764788517847777E-2</v>
      </c>
      <c r="Q124" s="31"/>
      <c r="R124" s="31"/>
    </row>
    <row r="125" spans="1:18" s="58" customFormat="1" ht="15.75" customHeight="1">
      <c r="A125" s="12" t="s">
        <v>155</v>
      </c>
      <c r="B125" s="12" t="s">
        <v>23</v>
      </c>
      <c r="C125" s="98">
        <v>45421</v>
      </c>
      <c r="D125" s="187" t="s">
        <v>24</v>
      </c>
      <c r="E125" s="187" t="s">
        <v>25</v>
      </c>
      <c r="F125" s="13">
        <v>3277</v>
      </c>
      <c r="G125" s="13">
        <v>423</v>
      </c>
      <c r="H125" s="13">
        <v>259</v>
      </c>
      <c r="I125" s="13">
        <v>46328</v>
      </c>
      <c r="J125" s="13">
        <v>44293</v>
      </c>
      <c r="K125" s="13">
        <v>299</v>
      </c>
      <c r="L125" s="12" t="s">
        <v>370</v>
      </c>
      <c r="M125" s="12" t="s">
        <v>38</v>
      </c>
      <c r="N125" s="12" t="s">
        <v>35</v>
      </c>
      <c r="O125" s="190" t="s">
        <v>17</v>
      </c>
      <c r="P125" s="30">
        <f t="shared" si="1"/>
        <v>8.5455879813503707E-2</v>
      </c>
      <c r="Q125" s="31"/>
      <c r="R125" s="31"/>
    </row>
    <row r="126" spans="1:18" s="58" customFormat="1" ht="15.75" customHeight="1">
      <c r="A126" s="12" t="s">
        <v>156</v>
      </c>
      <c r="B126" s="12" t="s">
        <v>23</v>
      </c>
      <c r="C126" s="98">
        <v>45602</v>
      </c>
      <c r="D126" s="187" t="s">
        <v>15</v>
      </c>
      <c r="E126" s="187" t="s">
        <v>355</v>
      </c>
      <c r="F126" s="13">
        <v>2956</v>
      </c>
      <c r="G126" s="13">
        <v>381</v>
      </c>
      <c r="H126" s="13">
        <v>345</v>
      </c>
      <c r="I126" s="13">
        <v>33347</v>
      </c>
      <c r="J126" s="13">
        <v>22558</v>
      </c>
      <c r="K126" s="13">
        <v>173</v>
      </c>
      <c r="L126" s="12" t="s">
        <v>35</v>
      </c>
      <c r="M126" s="12" t="s">
        <v>35</v>
      </c>
      <c r="N126" s="12"/>
      <c r="O126" s="190" t="s">
        <v>17</v>
      </c>
      <c r="P126" s="30">
        <f t="shared" si="1"/>
        <v>0.11041472996071611</v>
      </c>
      <c r="Q126" s="31"/>
      <c r="R126" s="31"/>
    </row>
    <row r="127" spans="1:18" s="58" customFormat="1" ht="15.75" customHeight="1">
      <c r="A127" s="12" t="s">
        <v>157</v>
      </c>
      <c r="B127" s="12" t="s">
        <v>23</v>
      </c>
      <c r="C127" s="98">
        <v>45295</v>
      </c>
      <c r="D127" s="187" t="s">
        <v>24</v>
      </c>
      <c r="E127" s="187" t="s">
        <v>354</v>
      </c>
      <c r="F127" s="13">
        <v>3208</v>
      </c>
      <c r="G127" s="13">
        <v>476</v>
      </c>
      <c r="H127" s="13">
        <v>277</v>
      </c>
      <c r="I127" s="13">
        <v>56072</v>
      </c>
      <c r="J127" s="13">
        <v>21061</v>
      </c>
      <c r="K127" s="13">
        <v>113</v>
      </c>
      <c r="L127" s="12" t="s">
        <v>371</v>
      </c>
      <c r="M127" s="12" t="s">
        <v>351</v>
      </c>
      <c r="N127" s="12" t="s">
        <v>35</v>
      </c>
      <c r="O127" s="190" t="s">
        <v>17</v>
      </c>
      <c r="P127" s="30">
        <f t="shared" si="1"/>
        <v>7.064131830503638E-2</v>
      </c>
      <c r="Q127" s="31"/>
      <c r="R127" s="31"/>
    </row>
    <row r="128" spans="1:18" s="58" customFormat="1" ht="15.75" hidden="1" customHeight="1">
      <c r="A128" s="12" t="s">
        <v>158</v>
      </c>
      <c r="B128" s="12" t="s">
        <v>23</v>
      </c>
      <c r="C128" s="98">
        <v>45319</v>
      </c>
      <c r="D128" s="12" t="s">
        <v>15</v>
      </c>
      <c r="E128" s="12" t="s">
        <v>356</v>
      </c>
      <c r="F128" s="13">
        <v>1456</v>
      </c>
      <c r="G128" s="13">
        <v>265</v>
      </c>
      <c r="H128" s="13">
        <v>137</v>
      </c>
      <c r="I128" s="13">
        <v>53485</v>
      </c>
      <c r="J128" s="13">
        <v>59729</v>
      </c>
      <c r="K128" s="13">
        <v>145</v>
      </c>
      <c r="L128" s="12" t="s">
        <v>38</v>
      </c>
      <c r="M128" s="12" t="s">
        <v>38</v>
      </c>
      <c r="N128" s="12"/>
      <c r="O128" s="69" t="s">
        <v>21</v>
      </c>
      <c r="P128" s="53">
        <f t="shared" si="1"/>
        <v>3.4738711788351875E-2</v>
      </c>
      <c r="Q128" s="31"/>
      <c r="R128" s="31"/>
    </row>
    <row r="129" spans="1:19" ht="15.75" customHeight="1">
      <c r="A129" s="12" t="s">
        <v>159</v>
      </c>
      <c r="B129" s="12" t="s">
        <v>14</v>
      </c>
      <c r="C129" s="98">
        <v>45344</v>
      </c>
      <c r="D129" s="187" t="s">
        <v>15</v>
      </c>
      <c r="E129" s="187" t="s">
        <v>25</v>
      </c>
      <c r="F129" s="13">
        <v>1902</v>
      </c>
      <c r="G129" s="13">
        <v>394</v>
      </c>
      <c r="H129" s="13">
        <v>279</v>
      </c>
      <c r="I129" s="13">
        <v>24615</v>
      </c>
      <c r="J129" s="13">
        <v>51330</v>
      </c>
      <c r="K129" s="13">
        <v>176</v>
      </c>
      <c r="L129" s="12" t="s">
        <v>370</v>
      </c>
      <c r="M129" s="12" t="s">
        <v>38</v>
      </c>
      <c r="N129" s="12" t="s">
        <v>35</v>
      </c>
      <c r="O129" s="190" t="s">
        <v>17</v>
      </c>
      <c r="P129" s="30">
        <f t="shared" si="1"/>
        <v>0.10461100954702417</v>
      </c>
      <c r="R129" s="31"/>
      <c r="S129" s="58"/>
    </row>
    <row r="130" spans="1:19" ht="15.75" customHeight="1">
      <c r="A130" s="12" t="s">
        <v>160</v>
      </c>
      <c r="B130" s="12" t="s">
        <v>23</v>
      </c>
      <c r="C130" s="98">
        <v>45839</v>
      </c>
      <c r="D130" s="187" t="s">
        <v>24</v>
      </c>
      <c r="E130" s="187" t="s">
        <v>19</v>
      </c>
      <c r="F130" s="13">
        <v>3219</v>
      </c>
      <c r="G130" s="13">
        <v>424</v>
      </c>
      <c r="H130" s="13">
        <v>267</v>
      </c>
      <c r="I130" s="13">
        <v>48879</v>
      </c>
      <c r="J130" s="13">
        <v>37691</v>
      </c>
      <c r="K130" s="13">
        <v>224</v>
      </c>
      <c r="L130" s="12" t="s">
        <v>373</v>
      </c>
      <c r="M130" s="12" t="s">
        <v>20</v>
      </c>
      <c r="N130" s="12" t="s">
        <v>351</v>
      </c>
      <c r="O130" s="190" t="s">
        <v>17</v>
      </c>
      <c r="P130" s="30">
        <f t="shared" ref="P130:P193" si="2">(F130+G130+H130)/I130</f>
        <v>7.9993453221219743E-2</v>
      </c>
      <c r="R130" s="31"/>
      <c r="S130" s="58"/>
    </row>
    <row r="131" spans="1:19" ht="15.75" hidden="1" customHeight="1">
      <c r="A131" s="12" t="s">
        <v>161</v>
      </c>
      <c r="B131" s="12" t="s">
        <v>28</v>
      </c>
      <c r="C131" s="98">
        <v>45301</v>
      </c>
      <c r="D131" s="12" t="s">
        <v>15</v>
      </c>
      <c r="E131" s="12" t="s">
        <v>19</v>
      </c>
      <c r="F131" s="13">
        <v>1261</v>
      </c>
      <c r="G131" s="13">
        <v>190</v>
      </c>
      <c r="H131" s="13">
        <v>233</v>
      </c>
      <c r="I131" s="13">
        <v>59888</v>
      </c>
      <c r="J131" s="13">
        <v>51449</v>
      </c>
      <c r="K131" s="13">
        <v>205</v>
      </c>
      <c r="L131" s="12" t="s">
        <v>372</v>
      </c>
      <c r="M131" s="12" t="s">
        <v>20</v>
      </c>
      <c r="N131" s="12" t="s">
        <v>352</v>
      </c>
      <c r="O131" s="69" t="s">
        <v>21</v>
      </c>
      <c r="P131" s="53">
        <f t="shared" si="2"/>
        <v>2.811915575741384E-2</v>
      </c>
      <c r="R131" s="31"/>
      <c r="S131" s="58"/>
    </row>
    <row r="132" spans="1:19" ht="15.75" hidden="1" customHeight="1">
      <c r="A132" s="12" t="s">
        <v>162</v>
      </c>
      <c r="B132" s="12" t="s">
        <v>23</v>
      </c>
      <c r="C132" s="98">
        <v>45736</v>
      </c>
      <c r="D132" s="12" t="s">
        <v>15</v>
      </c>
      <c r="E132" s="12" t="s">
        <v>43</v>
      </c>
      <c r="F132" s="13">
        <v>1564</v>
      </c>
      <c r="G132" s="13">
        <v>362</v>
      </c>
      <c r="H132" s="13">
        <v>371</v>
      </c>
      <c r="I132" s="13">
        <v>42075</v>
      </c>
      <c r="J132" s="13">
        <v>66659</v>
      </c>
      <c r="K132" s="13">
        <v>205</v>
      </c>
      <c r="L132" s="12" t="s">
        <v>38</v>
      </c>
      <c r="M132" s="12" t="s">
        <v>38</v>
      </c>
      <c r="N132" s="12"/>
      <c r="O132" s="69" t="s">
        <v>21</v>
      </c>
      <c r="P132" s="53">
        <f t="shared" si="2"/>
        <v>5.4592988710635768E-2</v>
      </c>
      <c r="R132" s="31"/>
      <c r="S132" s="58"/>
    </row>
    <row r="133" spans="1:19" ht="15.75" customHeight="1">
      <c r="A133" s="12" t="s">
        <v>163</v>
      </c>
      <c r="B133" s="12" t="s">
        <v>23</v>
      </c>
      <c r="C133" s="98">
        <v>45563</v>
      </c>
      <c r="D133" s="187" t="s">
        <v>15</v>
      </c>
      <c r="E133" s="187" t="s">
        <v>354</v>
      </c>
      <c r="F133" s="13">
        <v>4006</v>
      </c>
      <c r="G133" s="13">
        <v>420</v>
      </c>
      <c r="H133" s="13">
        <v>194</v>
      </c>
      <c r="I133" s="13">
        <v>49964</v>
      </c>
      <c r="J133" s="13">
        <v>20685</v>
      </c>
      <c r="K133" s="13">
        <v>148</v>
      </c>
      <c r="L133" s="12" t="s">
        <v>35</v>
      </c>
      <c r="M133" s="12" t="s">
        <v>35</v>
      </c>
      <c r="N133" s="12"/>
      <c r="O133" s="190" t="s">
        <v>17</v>
      </c>
      <c r="P133" s="30">
        <f t="shared" si="2"/>
        <v>9.2466575934672959E-2</v>
      </c>
      <c r="R133" s="31"/>
      <c r="S133" s="58"/>
    </row>
    <row r="134" spans="1:19" ht="15.75" hidden="1" customHeight="1">
      <c r="A134" s="12" t="s">
        <v>164</v>
      </c>
      <c r="B134" s="12" t="s">
        <v>28</v>
      </c>
      <c r="C134" s="98">
        <v>45318</v>
      </c>
      <c r="D134" s="12" t="s">
        <v>15</v>
      </c>
      <c r="E134" s="12" t="s">
        <v>43</v>
      </c>
      <c r="F134" s="13">
        <v>1976</v>
      </c>
      <c r="G134" s="13">
        <v>262</v>
      </c>
      <c r="H134" s="13">
        <v>218</v>
      </c>
      <c r="I134" s="13">
        <v>51696</v>
      </c>
      <c r="J134" s="13">
        <v>44846</v>
      </c>
      <c r="K134" s="13">
        <v>139</v>
      </c>
      <c r="L134" s="12" t="s">
        <v>372</v>
      </c>
      <c r="M134" s="12" t="s">
        <v>20</v>
      </c>
      <c r="N134" s="12" t="s">
        <v>352</v>
      </c>
      <c r="O134" s="69" t="s">
        <v>21</v>
      </c>
      <c r="P134" s="53">
        <f t="shared" si="2"/>
        <v>4.7508511296812134E-2</v>
      </c>
      <c r="R134" s="31"/>
      <c r="S134" s="58"/>
    </row>
    <row r="135" spans="1:19" ht="15.75" customHeight="1">
      <c r="A135" s="12" t="s">
        <v>165</v>
      </c>
      <c r="B135" s="12" t="s">
        <v>23</v>
      </c>
      <c r="C135" s="98">
        <v>45792</v>
      </c>
      <c r="D135" s="187" t="s">
        <v>15</v>
      </c>
      <c r="E135" s="187" t="s">
        <v>25</v>
      </c>
      <c r="F135" s="13">
        <v>1583</v>
      </c>
      <c r="G135" s="13">
        <v>433</v>
      </c>
      <c r="H135" s="13">
        <v>249</v>
      </c>
      <c r="I135" s="13">
        <v>30256</v>
      </c>
      <c r="J135" s="13">
        <v>47066</v>
      </c>
      <c r="K135" s="13">
        <v>196</v>
      </c>
      <c r="L135" s="12" t="s">
        <v>35</v>
      </c>
      <c r="M135" s="12" t="s">
        <v>35</v>
      </c>
      <c r="N135" s="12"/>
      <c r="O135" s="190" t="s">
        <v>17</v>
      </c>
      <c r="P135" s="30">
        <f t="shared" si="2"/>
        <v>7.4861184558434685E-2</v>
      </c>
      <c r="R135" s="31"/>
      <c r="S135" s="58"/>
    </row>
    <row r="136" spans="1:19" ht="15.75" customHeight="1">
      <c r="A136" s="12" t="s">
        <v>166</v>
      </c>
      <c r="B136" s="12" t="s">
        <v>23</v>
      </c>
      <c r="C136" s="98">
        <v>45569</v>
      </c>
      <c r="D136" s="187" t="s">
        <v>24</v>
      </c>
      <c r="E136" s="187" t="s">
        <v>19</v>
      </c>
      <c r="F136" s="13">
        <v>2870</v>
      </c>
      <c r="G136" s="13">
        <v>380</v>
      </c>
      <c r="H136" s="13">
        <v>393</v>
      </c>
      <c r="I136" s="13">
        <v>37621</v>
      </c>
      <c r="J136" s="13">
        <v>71794</v>
      </c>
      <c r="K136" s="13">
        <v>127</v>
      </c>
      <c r="L136" s="12" t="s">
        <v>371</v>
      </c>
      <c r="M136" s="12" t="s">
        <v>351</v>
      </c>
      <c r="N136" s="12" t="s">
        <v>35</v>
      </c>
      <c r="O136" s="190" t="s">
        <v>17</v>
      </c>
      <c r="P136" s="30">
        <f t="shared" si="2"/>
        <v>9.6834214933149046E-2</v>
      </c>
      <c r="R136" s="31"/>
      <c r="S136" s="58"/>
    </row>
    <row r="137" spans="1:19" ht="15.75" customHeight="1">
      <c r="A137" s="12" t="s">
        <v>167</v>
      </c>
      <c r="B137" s="12" t="s">
        <v>23</v>
      </c>
      <c r="C137" s="98">
        <v>45615</v>
      </c>
      <c r="D137" s="187" t="s">
        <v>15</v>
      </c>
      <c r="E137" s="187" t="s">
        <v>34</v>
      </c>
      <c r="F137" s="13">
        <v>3728</v>
      </c>
      <c r="G137" s="13">
        <v>271</v>
      </c>
      <c r="H137" s="13">
        <v>275</v>
      </c>
      <c r="I137" s="13">
        <v>22827</v>
      </c>
      <c r="J137" s="13">
        <v>37034</v>
      </c>
      <c r="K137" s="13">
        <v>199</v>
      </c>
      <c r="L137" s="12" t="s">
        <v>35</v>
      </c>
      <c r="M137" s="12" t="s">
        <v>35</v>
      </c>
      <c r="N137" s="12"/>
      <c r="O137" s="190" t="s">
        <v>17</v>
      </c>
      <c r="P137" s="30">
        <f t="shared" si="2"/>
        <v>0.18723441538528934</v>
      </c>
      <c r="R137" s="31"/>
      <c r="S137" s="58"/>
    </row>
    <row r="138" spans="1:19" ht="15.75" customHeight="1">
      <c r="A138" s="12" t="s">
        <v>168</v>
      </c>
      <c r="B138" s="12" t="s">
        <v>23</v>
      </c>
      <c r="C138" s="98">
        <v>45387</v>
      </c>
      <c r="D138" s="187" t="s">
        <v>24</v>
      </c>
      <c r="E138" s="187" t="s">
        <v>25</v>
      </c>
      <c r="F138" s="13">
        <v>4965</v>
      </c>
      <c r="G138" s="13">
        <v>175</v>
      </c>
      <c r="H138" s="13">
        <v>307</v>
      </c>
      <c r="I138" s="13">
        <v>32793</v>
      </c>
      <c r="J138" s="13">
        <v>43412</v>
      </c>
      <c r="K138" s="13">
        <v>296</v>
      </c>
      <c r="L138" s="12" t="s">
        <v>370</v>
      </c>
      <c r="M138" s="12" t="s">
        <v>38</v>
      </c>
      <c r="N138" s="12" t="s">
        <v>35</v>
      </c>
      <c r="O138" s="190" t="s">
        <v>17</v>
      </c>
      <c r="P138" s="30">
        <f t="shared" si="2"/>
        <v>0.16610252187966945</v>
      </c>
      <c r="R138" s="31"/>
      <c r="S138" s="58"/>
    </row>
    <row r="139" spans="1:19" ht="15.75" customHeight="1">
      <c r="A139" s="12" t="s">
        <v>169</v>
      </c>
      <c r="B139" s="12" t="s">
        <v>23</v>
      </c>
      <c r="C139" s="98">
        <v>45624</v>
      </c>
      <c r="D139" s="187" t="s">
        <v>24</v>
      </c>
      <c r="E139" s="187" t="s">
        <v>25</v>
      </c>
      <c r="F139" s="13">
        <v>1131</v>
      </c>
      <c r="G139" s="13">
        <v>100</v>
      </c>
      <c r="H139" s="13">
        <v>116</v>
      </c>
      <c r="I139" s="13">
        <v>48437</v>
      </c>
      <c r="J139" s="13">
        <v>72704</v>
      </c>
      <c r="K139" s="13">
        <v>236</v>
      </c>
      <c r="L139" s="12" t="s">
        <v>373</v>
      </c>
      <c r="M139" s="12" t="s">
        <v>20</v>
      </c>
      <c r="N139" s="12" t="s">
        <v>351</v>
      </c>
      <c r="O139" s="190" t="s">
        <v>17</v>
      </c>
      <c r="P139" s="30">
        <f t="shared" si="2"/>
        <v>2.7809319322005904E-2</v>
      </c>
      <c r="R139" s="31"/>
      <c r="S139" s="58"/>
    </row>
    <row r="140" spans="1:19" ht="15.75" customHeight="1">
      <c r="A140" s="12" t="s">
        <v>170</v>
      </c>
      <c r="B140" s="12" t="s">
        <v>23</v>
      </c>
      <c r="C140" s="98">
        <v>45725</v>
      </c>
      <c r="D140" s="187" t="s">
        <v>15</v>
      </c>
      <c r="E140" s="187" t="s">
        <v>43</v>
      </c>
      <c r="F140" s="13">
        <v>2754</v>
      </c>
      <c r="G140" s="13">
        <v>215</v>
      </c>
      <c r="H140" s="13">
        <v>264</v>
      </c>
      <c r="I140" s="13">
        <v>27762</v>
      </c>
      <c r="J140" s="13">
        <v>70203</v>
      </c>
      <c r="K140" s="13">
        <v>289</v>
      </c>
      <c r="L140" s="12" t="s">
        <v>35</v>
      </c>
      <c r="M140" s="12" t="s">
        <v>35</v>
      </c>
      <c r="N140" s="12"/>
      <c r="O140" s="190" t="s">
        <v>17</v>
      </c>
      <c r="P140" s="30">
        <f t="shared" si="2"/>
        <v>0.11645414595490239</v>
      </c>
      <c r="R140" s="31"/>
      <c r="S140" s="58"/>
    </row>
    <row r="141" spans="1:19" ht="15.75" customHeight="1">
      <c r="A141" s="12" t="s">
        <v>171</v>
      </c>
      <c r="B141" s="12" t="s">
        <v>23</v>
      </c>
      <c r="C141" s="98">
        <v>45531</v>
      </c>
      <c r="D141" s="187" t="s">
        <v>24</v>
      </c>
      <c r="E141" s="187" t="s">
        <v>25</v>
      </c>
      <c r="F141" s="13">
        <v>1856</v>
      </c>
      <c r="G141" s="13">
        <v>357</v>
      </c>
      <c r="H141" s="13">
        <v>348</v>
      </c>
      <c r="I141" s="13">
        <v>29428</v>
      </c>
      <c r="J141" s="13">
        <v>70206</v>
      </c>
      <c r="K141" s="13">
        <v>236</v>
      </c>
      <c r="L141" s="12" t="s">
        <v>371</v>
      </c>
      <c r="M141" s="12" t="s">
        <v>351</v>
      </c>
      <c r="N141" s="12" t="s">
        <v>35</v>
      </c>
      <c r="O141" s="190" t="s">
        <v>17</v>
      </c>
      <c r="P141" s="30">
        <f t="shared" si="2"/>
        <v>8.702596166915863E-2</v>
      </c>
      <c r="R141" s="31"/>
      <c r="S141" s="58"/>
    </row>
    <row r="142" spans="1:19" ht="15.75" hidden="1" customHeight="1">
      <c r="A142" s="12" t="s">
        <v>172</v>
      </c>
      <c r="B142" s="12" t="s">
        <v>28</v>
      </c>
      <c r="C142" s="98">
        <v>45566</v>
      </c>
      <c r="D142" s="12" t="s">
        <v>49</v>
      </c>
      <c r="E142" s="12" t="s">
        <v>19</v>
      </c>
      <c r="F142" s="13">
        <v>3543</v>
      </c>
      <c r="G142" s="13">
        <v>334</v>
      </c>
      <c r="H142" s="13">
        <v>218</v>
      </c>
      <c r="I142" s="13">
        <v>58007</v>
      </c>
      <c r="J142" s="13">
        <v>24792</v>
      </c>
      <c r="K142" s="13">
        <v>273</v>
      </c>
      <c r="L142" s="12" t="s">
        <v>374</v>
      </c>
      <c r="M142" s="12" t="s">
        <v>20</v>
      </c>
      <c r="N142" s="12" t="s">
        <v>38</v>
      </c>
      <c r="O142" s="69" t="s">
        <v>50</v>
      </c>
      <c r="P142" s="53">
        <f t="shared" si="2"/>
        <v>7.0594928198320889E-2</v>
      </c>
      <c r="R142" s="31"/>
      <c r="S142" s="58"/>
    </row>
    <row r="143" spans="1:19" ht="15.75" hidden="1" customHeight="1">
      <c r="A143" s="12" t="s">
        <v>173</v>
      </c>
      <c r="B143" s="12" t="s">
        <v>14</v>
      </c>
      <c r="C143" s="98">
        <v>45647</v>
      </c>
      <c r="D143" s="12" t="s">
        <v>24</v>
      </c>
      <c r="E143" s="12" t="s">
        <v>25</v>
      </c>
      <c r="F143" s="13">
        <v>4563</v>
      </c>
      <c r="G143" s="13">
        <v>398</v>
      </c>
      <c r="H143" s="13">
        <v>163</v>
      </c>
      <c r="I143" s="13">
        <v>43679</v>
      </c>
      <c r="J143" s="13">
        <v>48760</v>
      </c>
      <c r="K143" s="13">
        <v>92</v>
      </c>
      <c r="L143" s="12" t="s">
        <v>35</v>
      </c>
      <c r="M143" s="12" t="s">
        <v>35</v>
      </c>
      <c r="N143" s="12"/>
      <c r="O143" s="69" t="s">
        <v>47</v>
      </c>
      <c r="P143" s="53">
        <f t="shared" si="2"/>
        <v>0.11731037798484398</v>
      </c>
      <c r="R143" s="58"/>
      <c r="S143" s="58"/>
    </row>
    <row r="144" spans="1:19" ht="15.75" hidden="1" customHeight="1">
      <c r="A144" s="12" t="s">
        <v>174</v>
      </c>
      <c r="B144" s="12" t="s">
        <v>14</v>
      </c>
      <c r="C144" s="98">
        <v>45460</v>
      </c>
      <c r="D144" s="12" t="s">
        <v>15</v>
      </c>
      <c r="E144" s="12" t="s">
        <v>16</v>
      </c>
      <c r="F144" s="13">
        <v>4283</v>
      </c>
      <c r="G144" s="13">
        <v>471</v>
      </c>
      <c r="H144" s="13">
        <v>156</v>
      </c>
      <c r="I144" s="13">
        <v>53004</v>
      </c>
      <c r="J144" s="13">
        <v>25678</v>
      </c>
      <c r="K144" s="13">
        <v>105</v>
      </c>
      <c r="L144" s="12" t="s">
        <v>20</v>
      </c>
      <c r="M144" s="12" t="s">
        <v>20</v>
      </c>
      <c r="N144" s="12"/>
      <c r="O144" s="69" t="s">
        <v>21</v>
      </c>
      <c r="P144" s="53">
        <f t="shared" si="2"/>
        <v>9.2634518149573616E-2</v>
      </c>
      <c r="R144" s="58"/>
      <c r="S144" s="58"/>
    </row>
    <row r="145" spans="1:19" ht="15.75" customHeight="1">
      <c r="A145" s="12" t="s">
        <v>175</v>
      </c>
      <c r="B145" s="12" t="s">
        <v>14</v>
      </c>
      <c r="C145" s="98">
        <v>45702</v>
      </c>
      <c r="D145" s="187" t="s">
        <v>15</v>
      </c>
      <c r="E145" s="187" t="s">
        <v>16</v>
      </c>
      <c r="F145" s="13">
        <v>2329</v>
      </c>
      <c r="G145" s="13">
        <v>373</v>
      </c>
      <c r="H145" s="13">
        <v>291</v>
      </c>
      <c r="I145" s="13">
        <v>49577</v>
      </c>
      <c r="J145" s="13">
        <v>28002</v>
      </c>
      <c r="K145" s="13">
        <v>82</v>
      </c>
      <c r="L145" s="12" t="s">
        <v>370</v>
      </c>
      <c r="M145" s="12" t="s">
        <v>38</v>
      </c>
      <c r="N145" s="12" t="s">
        <v>35</v>
      </c>
      <c r="O145" s="190" t="s">
        <v>17</v>
      </c>
      <c r="P145" s="30">
        <f t="shared" si="2"/>
        <v>6.0370736430199488E-2</v>
      </c>
      <c r="R145" s="58"/>
      <c r="S145" s="58"/>
    </row>
    <row r="146" spans="1:19" ht="15.75" customHeight="1">
      <c r="A146" s="12" t="s">
        <v>176</v>
      </c>
      <c r="B146" s="12" t="s">
        <v>23</v>
      </c>
      <c r="C146" s="98">
        <v>45805</v>
      </c>
      <c r="D146" s="187" t="s">
        <v>24</v>
      </c>
      <c r="E146" s="187" t="s">
        <v>34</v>
      </c>
      <c r="F146" s="13">
        <v>4287</v>
      </c>
      <c r="G146" s="13">
        <v>273</v>
      </c>
      <c r="H146" s="13">
        <v>122</v>
      </c>
      <c r="I146" s="13">
        <v>40792</v>
      </c>
      <c r="J146" s="13">
        <v>23878</v>
      </c>
      <c r="K146" s="13">
        <v>277</v>
      </c>
      <c r="L146" s="12" t="s">
        <v>371</v>
      </c>
      <c r="M146" s="12" t="s">
        <v>351</v>
      </c>
      <c r="N146" s="12" t="s">
        <v>35</v>
      </c>
      <c r="O146" s="190" t="s">
        <v>17</v>
      </c>
      <c r="P146" s="30">
        <f t="shared" si="2"/>
        <v>0.11477740733477153</v>
      </c>
      <c r="R146" s="58"/>
      <c r="S146" s="58"/>
    </row>
    <row r="147" spans="1:19" ht="15.75" hidden="1" customHeight="1">
      <c r="A147" s="12" t="s">
        <v>177</v>
      </c>
      <c r="B147" s="12" t="s">
        <v>14</v>
      </c>
      <c r="C147" s="98">
        <v>45799</v>
      </c>
      <c r="D147" s="12" t="s">
        <v>15</v>
      </c>
      <c r="E147" s="12" t="s">
        <v>16</v>
      </c>
      <c r="F147" s="13">
        <v>2633</v>
      </c>
      <c r="G147" s="13">
        <v>318</v>
      </c>
      <c r="H147" s="13">
        <v>380</v>
      </c>
      <c r="I147" s="13">
        <v>40869</v>
      </c>
      <c r="J147" s="13">
        <v>64474</v>
      </c>
      <c r="K147" s="13">
        <v>245</v>
      </c>
      <c r="L147" s="12" t="s">
        <v>20</v>
      </c>
      <c r="M147" s="12" t="s">
        <v>20</v>
      </c>
      <c r="N147" s="12"/>
      <c r="O147" s="69" t="s">
        <v>21</v>
      </c>
      <c r="P147" s="53">
        <f t="shared" si="2"/>
        <v>8.1504318676747664E-2</v>
      </c>
      <c r="R147" s="58"/>
      <c r="S147" s="58"/>
    </row>
    <row r="148" spans="1:19" ht="15.75" customHeight="1">
      <c r="A148" s="12" t="s">
        <v>178</v>
      </c>
      <c r="B148" s="12" t="s">
        <v>23</v>
      </c>
      <c r="C148" s="98">
        <v>45312</v>
      </c>
      <c r="D148" s="187" t="s">
        <v>24</v>
      </c>
      <c r="E148" s="187" t="s">
        <v>16</v>
      </c>
      <c r="F148" s="13">
        <v>2383</v>
      </c>
      <c r="G148" s="13">
        <v>136</v>
      </c>
      <c r="H148" s="13">
        <v>302</v>
      </c>
      <c r="I148" s="13">
        <v>39187</v>
      </c>
      <c r="J148" s="13">
        <v>22133</v>
      </c>
      <c r="K148" s="13">
        <v>208</v>
      </c>
      <c r="L148" s="12" t="s">
        <v>371</v>
      </c>
      <c r="M148" s="12" t="s">
        <v>351</v>
      </c>
      <c r="N148" s="12" t="s">
        <v>35</v>
      </c>
      <c r="O148" s="190" t="s">
        <v>17</v>
      </c>
      <c r="P148" s="30">
        <f t="shared" si="2"/>
        <v>7.1988159338556151E-2</v>
      </c>
      <c r="R148" s="58"/>
      <c r="S148" s="58"/>
    </row>
    <row r="149" spans="1:19" ht="15.75" customHeight="1">
      <c r="A149" s="12" t="s">
        <v>179</v>
      </c>
      <c r="B149" s="12" t="s">
        <v>23</v>
      </c>
      <c r="C149" s="98">
        <v>45696</v>
      </c>
      <c r="D149" s="187" t="s">
        <v>24</v>
      </c>
      <c r="E149" s="187" t="s">
        <v>43</v>
      </c>
      <c r="F149" s="13">
        <v>4752</v>
      </c>
      <c r="G149" s="13">
        <v>334</v>
      </c>
      <c r="H149" s="13">
        <v>56</v>
      </c>
      <c r="I149" s="13">
        <v>48017</v>
      </c>
      <c r="J149" s="13">
        <v>55534</v>
      </c>
      <c r="K149" s="13">
        <v>270</v>
      </c>
      <c r="L149" s="12" t="s">
        <v>373</v>
      </c>
      <c r="M149" s="12" t="s">
        <v>20</v>
      </c>
      <c r="N149" s="12" t="s">
        <v>351</v>
      </c>
      <c r="O149" s="190" t="s">
        <v>17</v>
      </c>
      <c r="P149" s="30">
        <f t="shared" si="2"/>
        <v>0.10708707332819627</v>
      </c>
      <c r="R149" s="94"/>
      <c r="S149" s="58"/>
    </row>
    <row r="150" spans="1:19" ht="15.75" hidden="1" customHeight="1">
      <c r="A150" s="12" t="s">
        <v>180</v>
      </c>
      <c r="B150" s="12" t="s">
        <v>23</v>
      </c>
      <c r="C150" s="98">
        <v>45760</v>
      </c>
      <c r="D150" s="12" t="s">
        <v>15</v>
      </c>
      <c r="E150" s="12" t="s">
        <v>355</v>
      </c>
      <c r="F150" s="13">
        <v>3890</v>
      </c>
      <c r="G150" s="13">
        <v>408</v>
      </c>
      <c r="H150" s="13">
        <v>338</v>
      </c>
      <c r="I150" s="13">
        <v>56994</v>
      </c>
      <c r="J150" s="13">
        <v>32621</v>
      </c>
      <c r="K150" s="13">
        <v>286</v>
      </c>
      <c r="L150" s="12" t="s">
        <v>38</v>
      </c>
      <c r="M150" s="12" t="s">
        <v>38</v>
      </c>
      <c r="N150" s="12"/>
      <c r="O150" s="69" t="s">
        <v>21</v>
      </c>
      <c r="P150" s="53">
        <f t="shared" si="2"/>
        <v>8.1341895638137346E-2</v>
      </c>
      <c r="R150" s="58"/>
      <c r="S150" s="58"/>
    </row>
    <row r="151" spans="1:19" ht="15.75" customHeight="1">
      <c r="A151" s="12" t="s">
        <v>181</v>
      </c>
      <c r="B151" s="12" t="s">
        <v>23</v>
      </c>
      <c r="C151" s="98">
        <v>45442</v>
      </c>
      <c r="D151" s="187" t="s">
        <v>24</v>
      </c>
      <c r="E151" s="187" t="s">
        <v>43</v>
      </c>
      <c r="F151" s="13">
        <v>2311</v>
      </c>
      <c r="G151" s="13">
        <v>207</v>
      </c>
      <c r="H151" s="13">
        <v>363</v>
      </c>
      <c r="I151" s="13">
        <v>30349</v>
      </c>
      <c r="J151" s="13">
        <v>32925</v>
      </c>
      <c r="K151" s="13">
        <v>88</v>
      </c>
      <c r="L151" s="12" t="s">
        <v>371</v>
      </c>
      <c r="M151" s="12" t="s">
        <v>351</v>
      </c>
      <c r="N151" s="12" t="s">
        <v>35</v>
      </c>
      <c r="O151" s="190" t="s">
        <v>17</v>
      </c>
      <c r="P151" s="30">
        <f t="shared" si="2"/>
        <v>9.4928992718046723E-2</v>
      </c>
      <c r="R151" s="58"/>
      <c r="S151" s="58"/>
    </row>
    <row r="152" spans="1:19" ht="15.75" hidden="1" customHeight="1">
      <c r="A152" s="12" t="s">
        <v>182</v>
      </c>
      <c r="B152" s="12" t="s">
        <v>14</v>
      </c>
      <c r="C152" s="98">
        <v>45516</v>
      </c>
      <c r="D152" s="12" t="s">
        <v>24</v>
      </c>
      <c r="E152" s="12" t="s">
        <v>16</v>
      </c>
      <c r="F152" s="13">
        <v>2962</v>
      </c>
      <c r="G152" s="13">
        <v>400</v>
      </c>
      <c r="H152" s="13">
        <v>280</v>
      </c>
      <c r="I152" s="13">
        <v>52508</v>
      </c>
      <c r="J152" s="13">
        <v>58329</v>
      </c>
      <c r="K152" s="13">
        <v>219</v>
      </c>
      <c r="L152" s="12" t="s">
        <v>35</v>
      </c>
      <c r="M152" s="12" t="s">
        <v>35</v>
      </c>
      <c r="N152" s="12"/>
      <c r="O152" s="69" t="s">
        <v>47</v>
      </c>
      <c r="P152" s="53">
        <f t="shared" si="2"/>
        <v>6.9360859297630834E-2</v>
      </c>
      <c r="R152" s="58"/>
      <c r="S152" s="58"/>
    </row>
    <row r="153" spans="1:19" ht="15.75" hidden="1" customHeight="1">
      <c r="A153" s="12" t="s">
        <v>183</v>
      </c>
      <c r="B153" s="12" t="s">
        <v>14</v>
      </c>
      <c r="C153" s="98">
        <v>45562</v>
      </c>
      <c r="D153" s="12" t="s">
        <v>15</v>
      </c>
      <c r="E153" s="12" t="s">
        <v>16</v>
      </c>
      <c r="F153" s="13">
        <v>3118</v>
      </c>
      <c r="G153" s="13">
        <v>116</v>
      </c>
      <c r="H153" s="13">
        <v>195</v>
      </c>
      <c r="I153" s="13">
        <v>37100</v>
      </c>
      <c r="J153" s="13">
        <v>62629</v>
      </c>
      <c r="K153" s="13">
        <v>272</v>
      </c>
      <c r="L153" s="12" t="s">
        <v>20</v>
      </c>
      <c r="M153" s="12" t="s">
        <v>20</v>
      </c>
      <c r="N153" s="12"/>
      <c r="O153" s="69" t="s">
        <v>21</v>
      </c>
      <c r="P153" s="53">
        <f t="shared" si="2"/>
        <v>9.2425876010781671E-2</v>
      </c>
      <c r="R153" s="58"/>
      <c r="S153" s="58"/>
    </row>
    <row r="154" spans="1:19" ht="15.75" customHeight="1">
      <c r="A154" s="12" t="s">
        <v>184</v>
      </c>
      <c r="B154" s="12" t="s">
        <v>23</v>
      </c>
      <c r="C154" s="98">
        <v>45819</v>
      </c>
      <c r="D154" s="187" t="s">
        <v>24</v>
      </c>
      <c r="E154" s="187" t="s">
        <v>19</v>
      </c>
      <c r="F154" s="13">
        <v>3805</v>
      </c>
      <c r="G154" s="13">
        <v>453</v>
      </c>
      <c r="H154" s="13">
        <v>63</v>
      </c>
      <c r="I154" s="13">
        <v>52395</v>
      </c>
      <c r="J154" s="13">
        <v>72934</v>
      </c>
      <c r="K154" s="13">
        <v>87</v>
      </c>
      <c r="L154" s="12" t="s">
        <v>373</v>
      </c>
      <c r="M154" s="12" t="s">
        <v>20</v>
      </c>
      <c r="N154" s="12" t="s">
        <v>351</v>
      </c>
      <c r="O154" s="190" t="s">
        <v>17</v>
      </c>
      <c r="P154" s="30">
        <f t="shared" si="2"/>
        <v>8.2469701307376658E-2</v>
      </c>
      <c r="R154" s="58"/>
      <c r="S154" s="58"/>
    </row>
    <row r="155" spans="1:19" ht="15.75" hidden="1" customHeight="1">
      <c r="A155" s="12" t="s">
        <v>185</v>
      </c>
      <c r="B155" s="12" t="s">
        <v>14</v>
      </c>
      <c r="C155" s="98">
        <v>45615</v>
      </c>
      <c r="D155" s="12" t="s">
        <v>15</v>
      </c>
      <c r="E155" s="12" t="s">
        <v>354</v>
      </c>
      <c r="F155" s="13">
        <v>2525</v>
      </c>
      <c r="G155" s="13">
        <v>272</v>
      </c>
      <c r="H155" s="13">
        <v>294</v>
      </c>
      <c r="I155" s="13">
        <v>51875</v>
      </c>
      <c r="J155" s="13">
        <v>24732</v>
      </c>
      <c r="K155" s="13">
        <v>92</v>
      </c>
      <c r="L155" s="12" t="s">
        <v>20</v>
      </c>
      <c r="M155" s="12" t="s">
        <v>20</v>
      </c>
      <c r="N155" s="12"/>
      <c r="O155" s="69" t="s">
        <v>21</v>
      </c>
      <c r="P155" s="53">
        <f t="shared" si="2"/>
        <v>5.9585542168674697E-2</v>
      </c>
      <c r="R155" s="58"/>
      <c r="S155" s="58"/>
    </row>
    <row r="156" spans="1:19" ht="15.75" customHeight="1">
      <c r="A156" s="12" t="s">
        <v>186</v>
      </c>
      <c r="B156" s="12" t="s">
        <v>14</v>
      </c>
      <c r="C156" s="98">
        <v>45407</v>
      </c>
      <c r="D156" s="187" t="s">
        <v>15</v>
      </c>
      <c r="E156" s="187" t="s">
        <v>356</v>
      </c>
      <c r="F156" s="13">
        <v>3563</v>
      </c>
      <c r="G156" s="13">
        <v>483</v>
      </c>
      <c r="H156" s="13">
        <v>227</v>
      </c>
      <c r="I156" s="13">
        <v>41085</v>
      </c>
      <c r="J156" s="13">
        <v>26393</v>
      </c>
      <c r="K156" s="13">
        <v>236</v>
      </c>
      <c r="L156" s="12" t="s">
        <v>370</v>
      </c>
      <c r="M156" s="12" t="s">
        <v>38</v>
      </c>
      <c r="N156" s="12" t="s">
        <v>35</v>
      </c>
      <c r="O156" s="190" t="s">
        <v>17</v>
      </c>
      <c r="P156" s="30">
        <f t="shared" si="2"/>
        <v>0.10400389436534015</v>
      </c>
      <c r="R156" s="58"/>
      <c r="S156" s="58"/>
    </row>
    <row r="157" spans="1:19" ht="15.75" hidden="1" customHeight="1">
      <c r="A157" s="12" t="s">
        <v>187</v>
      </c>
      <c r="B157" s="12" t="s">
        <v>28</v>
      </c>
      <c r="C157" s="98">
        <v>45538</v>
      </c>
      <c r="D157" s="12" t="s">
        <v>49</v>
      </c>
      <c r="E157" s="12" t="s">
        <v>354</v>
      </c>
      <c r="F157" s="13">
        <v>1437</v>
      </c>
      <c r="G157" s="13">
        <v>494</v>
      </c>
      <c r="H157" s="13">
        <v>129</v>
      </c>
      <c r="I157" s="13">
        <v>53048</v>
      </c>
      <c r="J157" s="13">
        <v>44090</v>
      </c>
      <c r="K157" s="13">
        <v>230</v>
      </c>
      <c r="L157" s="12" t="s">
        <v>374</v>
      </c>
      <c r="M157" s="12" t="s">
        <v>20</v>
      </c>
      <c r="N157" s="12" t="s">
        <v>38</v>
      </c>
      <c r="O157" s="69" t="s">
        <v>50</v>
      </c>
      <c r="P157" s="53">
        <f t="shared" si="2"/>
        <v>3.8832755240536872E-2</v>
      </c>
      <c r="R157" s="58"/>
      <c r="S157" s="58"/>
    </row>
    <row r="158" spans="1:19" ht="15.75" hidden="1" customHeight="1">
      <c r="A158" s="12" t="s">
        <v>188</v>
      </c>
      <c r="B158" s="12" t="s">
        <v>28</v>
      </c>
      <c r="C158" s="98">
        <v>45718</v>
      </c>
      <c r="D158" s="12" t="s">
        <v>15</v>
      </c>
      <c r="E158" s="12" t="s">
        <v>355</v>
      </c>
      <c r="F158" s="13">
        <v>4425</v>
      </c>
      <c r="G158" s="13">
        <v>185</v>
      </c>
      <c r="H158" s="13">
        <v>162</v>
      </c>
      <c r="I158" s="13">
        <v>24610</v>
      </c>
      <c r="J158" s="13">
        <v>21342</v>
      </c>
      <c r="K158" s="13">
        <v>158</v>
      </c>
      <c r="L158" s="12" t="s">
        <v>372</v>
      </c>
      <c r="M158" s="12" t="s">
        <v>20</v>
      </c>
      <c r="N158" s="12" t="s">
        <v>352</v>
      </c>
      <c r="O158" s="69" t="s">
        <v>21</v>
      </c>
      <c r="P158" s="53">
        <f t="shared" si="2"/>
        <v>0.19390491670052823</v>
      </c>
      <c r="R158" s="58"/>
      <c r="S158" s="58"/>
    </row>
    <row r="159" spans="1:19" ht="15.75" customHeight="1">
      <c r="A159" s="12" t="s">
        <v>189</v>
      </c>
      <c r="B159" s="12" t="s">
        <v>23</v>
      </c>
      <c r="C159" s="98">
        <v>45737</v>
      </c>
      <c r="D159" s="187" t="s">
        <v>24</v>
      </c>
      <c r="E159" s="187" t="s">
        <v>25</v>
      </c>
      <c r="F159" s="13">
        <v>4609</v>
      </c>
      <c r="G159" s="13">
        <v>427</v>
      </c>
      <c r="H159" s="13">
        <v>395</v>
      </c>
      <c r="I159" s="13">
        <v>33698</v>
      </c>
      <c r="J159" s="13">
        <v>29259</v>
      </c>
      <c r="K159" s="13">
        <v>216</v>
      </c>
      <c r="L159" s="12" t="s">
        <v>373</v>
      </c>
      <c r="M159" s="12" t="s">
        <v>20</v>
      </c>
      <c r="N159" s="12" t="s">
        <v>351</v>
      </c>
      <c r="O159" s="190" t="s">
        <v>17</v>
      </c>
      <c r="P159" s="30">
        <f t="shared" si="2"/>
        <v>0.16116683482699271</v>
      </c>
      <c r="R159" s="58"/>
      <c r="S159" s="58"/>
    </row>
    <row r="160" spans="1:19" ht="15.75" hidden="1" customHeight="1">
      <c r="A160" s="12" t="s">
        <v>190</v>
      </c>
      <c r="B160" s="12" t="s">
        <v>14</v>
      </c>
      <c r="C160" s="98">
        <v>45394</v>
      </c>
      <c r="D160" s="12" t="s">
        <v>24</v>
      </c>
      <c r="E160" s="12" t="s">
        <v>31</v>
      </c>
      <c r="F160" s="13">
        <v>1558</v>
      </c>
      <c r="G160" s="13">
        <v>352</v>
      </c>
      <c r="H160" s="13">
        <v>202</v>
      </c>
      <c r="I160" s="13">
        <v>25405</v>
      </c>
      <c r="J160" s="13">
        <v>69941</v>
      </c>
      <c r="K160" s="13">
        <v>219</v>
      </c>
      <c r="L160" s="12" t="s">
        <v>35</v>
      </c>
      <c r="M160" s="12" t="s">
        <v>35</v>
      </c>
      <c r="N160" s="12"/>
      <c r="O160" s="69" t="s">
        <v>47</v>
      </c>
      <c r="P160" s="53">
        <f t="shared" si="2"/>
        <v>8.3133241487896081E-2</v>
      </c>
      <c r="R160" s="58"/>
      <c r="S160" s="58"/>
    </row>
    <row r="161" spans="1:19" ht="15.75" hidden="1" customHeight="1">
      <c r="A161" s="12" t="s">
        <v>191</v>
      </c>
      <c r="B161" s="12" t="s">
        <v>28</v>
      </c>
      <c r="C161" s="98">
        <v>45330</v>
      </c>
      <c r="D161" s="12" t="s">
        <v>49</v>
      </c>
      <c r="E161" s="12" t="s">
        <v>34</v>
      </c>
      <c r="F161" s="13">
        <v>1889</v>
      </c>
      <c r="G161" s="13">
        <v>298</v>
      </c>
      <c r="H161" s="13">
        <v>122</v>
      </c>
      <c r="I161" s="13">
        <v>46225</v>
      </c>
      <c r="J161" s="13">
        <v>74305</v>
      </c>
      <c r="K161" s="13">
        <v>293</v>
      </c>
      <c r="L161" s="12" t="s">
        <v>374</v>
      </c>
      <c r="M161" s="12" t="s">
        <v>20</v>
      </c>
      <c r="N161" s="12" t="s">
        <v>38</v>
      </c>
      <c r="O161" s="69" t="s">
        <v>50</v>
      </c>
      <c r="P161" s="53">
        <f t="shared" si="2"/>
        <v>4.9951325040562468E-2</v>
      </c>
      <c r="R161" s="58"/>
      <c r="S161" s="58"/>
    </row>
    <row r="162" spans="1:19" ht="15.75" hidden="1" customHeight="1">
      <c r="A162" s="12" t="s">
        <v>192</v>
      </c>
      <c r="B162" s="12" t="s">
        <v>14</v>
      </c>
      <c r="C162" s="98">
        <v>45803</v>
      </c>
      <c r="D162" s="12" t="s">
        <v>15</v>
      </c>
      <c r="E162" s="12" t="s">
        <v>16</v>
      </c>
      <c r="F162" s="13">
        <v>3086</v>
      </c>
      <c r="G162" s="13">
        <v>148</v>
      </c>
      <c r="H162" s="13">
        <v>310</v>
      </c>
      <c r="I162" s="13">
        <v>22824</v>
      </c>
      <c r="J162" s="13">
        <v>58103</v>
      </c>
      <c r="K162" s="13">
        <v>275</v>
      </c>
      <c r="L162" s="12" t="s">
        <v>20</v>
      </c>
      <c r="M162" s="12" t="s">
        <v>20</v>
      </c>
      <c r="N162" s="12"/>
      <c r="O162" s="69" t="s">
        <v>21</v>
      </c>
      <c r="P162" s="53">
        <f t="shared" si="2"/>
        <v>0.1552751489660007</v>
      </c>
      <c r="R162" s="58"/>
      <c r="S162" s="58"/>
    </row>
    <row r="163" spans="1:19" ht="15.75" customHeight="1">
      <c r="A163" s="12" t="s">
        <v>193</v>
      </c>
      <c r="B163" s="12" t="s">
        <v>14</v>
      </c>
      <c r="C163" s="98">
        <v>45610</v>
      </c>
      <c r="D163" s="187" t="s">
        <v>15</v>
      </c>
      <c r="E163" s="187" t="s">
        <v>356</v>
      </c>
      <c r="F163" s="13">
        <v>2422</v>
      </c>
      <c r="G163" s="13">
        <v>318</v>
      </c>
      <c r="H163" s="13">
        <v>118</v>
      </c>
      <c r="I163" s="13">
        <v>25386</v>
      </c>
      <c r="J163" s="13">
        <v>20873</v>
      </c>
      <c r="K163" s="13">
        <v>100</v>
      </c>
      <c r="L163" s="12" t="s">
        <v>370</v>
      </c>
      <c r="M163" s="12" t="s">
        <v>38</v>
      </c>
      <c r="N163" s="12" t="s">
        <v>35</v>
      </c>
      <c r="O163" s="190" t="s">
        <v>17</v>
      </c>
      <c r="P163" s="30">
        <f t="shared" si="2"/>
        <v>0.11258173796580792</v>
      </c>
      <c r="R163" s="58"/>
      <c r="S163" s="58"/>
    </row>
    <row r="164" spans="1:19" ht="15.75" hidden="1" customHeight="1">
      <c r="A164" s="12" t="s">
        <v>194</v>
      </c>
      <c r="B164" s="12" t="s">
        <v>28</v>
      </c>
      <c r="C164" s="98">
        <v>45513</v>
      </c>
      <c r="D164" s="12" t="s">
        <v>49</v>
      </c>
      <c r="E164" s="12" t="s">
        <v>355</v>
      </c>
      <c r="F164" s="13">
        <v>3414</v>
      </c>
      <c r="G164" s="13">
        <v>154</v>
      </c>
      <c r="H164" s="13">
        <v>204</v>
      </c>
      <c r="I164" s="13">
        <v>34146</v>
      </c>
      <c r="J164" s="13">
        <v>44633</v>
      </c>
      <c r="K164" s="13">
        <v>256</v>
      </c>
      <c r="L164" s="12" t="s">
        <v>374</v>
      </c>
      <c r="M164" s="12" t="s">
        <v>20</v>
      </c>
      <c r="N164" s="12" t="s">
        <v>38</v>
      </c>
      <c r="O164" s="69" t="s">
        <v>50</v>
      </c>
      <c r="P164" s="53">
        <f t="shared" si="2"/>
        <v>0.11046681895390383</v>
      </c>
      <c r="R164" s="58"/>
      <c r="S164" s="58"/>
    </row>
    <row r="165" spans="1:19" ht="15.75" hidden="1" customHeight="1">
      <c r="A165" s="12" t="s">
        <v>195</v>
      </c>
      <c r="B165" s="12" t="s">
        <v>14</v>
      </c>
      <c r="C165" s="98">
        <v>45835</v>
      </c>
      <c r="D165" s="12" t="s">
        <v>24</v>
      </c>
      <c r="E165" s="12" t="s">
        <v>354</v>
      </c>
      <c r="F165" s="13">
        <v>1342</v>
      </c>
      <c r="G165" s="13">
        <v>332</v>
      </c>
      <c r="H165" s="13">
        <v>163</v>
      </c>
      <c r="I165" s="13">
        <v>51712</v>
      </c>
      <c r="J165" s="13">
        <v>57922</v>
      </c>
      <c r="K165" s="13">
        <v>168</v>
      </c>
      <c r="L165" s="12" t="s">
        <v>35</v>
      </c>
      <c r="M165" s="12" t="s">
        <v>35</v>
      </c>
      <c r="N165" s="12"/>
      <c r="O165" s="69" t="s">
        <v>47</v>
      </c>
      <c r="P165" s="53">
        <f t="shared" si="2"/>
        <v>3.5523669554455448E-2</v>
      </c>
      <c r="R165" s="58"/>
      <c r="S165" s="58"/>
    </row>
    <row r="166" spans="1:19" ht="15.75" hidden="1" customHeight="1">
      <c r="A166" s="12" t="s">
        <v>196</v>
      </c>
      <c r="B166" s="12" t="s">
        <v>14</v>
      </c>
      <c r="C166" s="98">
        <v>45420</v>
      </c>
      <c r="D166" s="12" t="s">
        <v>24</v>
      </c>
      <c r="E166" s="12" t="s">
        <v>356</v>
      </c>
      <c r="F166" s="13">
        <v>2414</v>
      </c>
      <c r="G166" s="13">
        <v>220</v>
      </c>
      <c r="H166" s="13">
        <v>280</v>
      </c>
      <c r="I166" s="13">
        <v>27355</v>
      </c>
      <c r="J166" s="13">
        <v>50562</v>
      </c>
      <c r="K166" s="13">
        <v>258</v>
      </c>
      <c r="L166" s="12" t="s">
        <v>35</v>
      </c>
      <c r="M166" s="12" t="s">
        <v>35</v>
      </c>
      <c r="N166" s="12"/>
      <c r="O166" s="69" t="s">
        <v>47</v>
      </c>
      <c r="P166" s="53">
        <f t="shared" si="2"/>
        <v>0.10652531529884847</v>
      </c>
      <c r="R166" s="58"/>
      <c r="S166" s="58"/>
    </row>
    <row r="167" spans="1:19" ht="15.75" hidden="1" customHeight="1">
      <c r="A167" s="12" t="s">
        <v>197</v>
      </c>
      <c r="B167" s="12" t="s">
        <v>14</v>
      </c>
      <c r="C167" s="98">
        <v>45387</v>
      </c>
      <c r="D167" s="12" t="s">
        <v>15</v>
      </c>
      <c r="E167" s="12" t="s">
        <v>25</v>
      </c>
      <c r="F167" s="13">
        <v>4383</v>
      </c>
      <c r="G167" s="13">
        <v>352</v>
      </c>
      <c r="H167" s="13">
        <v>176</v>
      </c>
      <c r="I167" s="13">
        <v>53239</v>
      </c>
      <c r="J167" s="13">
        <v>34168</v>
      </c>
      <c r="K167" s="13">
        <v>288</v>
      </c>
      <c r="L167" s="12" t="s">
        <v>20</v>
      </c>
      <c r="M167" s="12" t="s">
        <v>20</v>
      </c>
      <c r="N167" s="12"/>
      <c r="O167" s="69" t="s">
        <v>21</v>
      </c>
      <c r="P167" s="53">
        <f t="shared" si="2"/>
        <v>9.2244407295403744E-2</v>
      </c>
      <c r="R167" s="58"/>
      <c r="S167" s="58"/>
    </row>
    <row r="168" spans="1:19" ht="15.75" hidden="1" customHeight="1">
      <c r="A168" s="12" t="s">
        <v>198</v>
      </c>
      <c r="B168" s="12" t="s">
        <v>28</v>
      </c>
      <c r="C168" s="98">
        <v>45684</v>
      </c>
      <c r="D168" s="12" t="s">
        <v>15</v>
      </c>
      <c r="E168" s="12" t="s">
        <v>353</v>
      </c>
      <c r="F168" s="13">
        <v>4294</v>
      </c>
      <c r="G168" s="13">
        <v>423</v>
      </c>
      <c r="H168" s="13">
        <v>93</v>
      </c>
      <c r="I168" s="13">
        <v>29828</v>
      </c>
      <c r="J168" s="13">
        <v>73144</v>
      </c>
      <c r="K168" s="13">
        <v>298</v>
      </c>
      <c r="L168" s="12" t="s">
        <v>372</v>
      </c>
      <c r="M168" s="12" t="s">
        <v>20</v>
      </c>
      <c r="N168" s="12" t="s">
        <v>352</v>
      </c>
      <c r="O168" s="69" t="s">
        <v>21</v>
      </c>
      <c r="P168" s="53">
        <f t="shared" si="2"/>
        <v>0.1612578785034196</v>
      </c>
      <c r="R168" s="58"/>
      <c r="S168" s="58"/>
    </row>
    <row r="169" spans="1:19" ht="15.75" customHeight="1">
      <c r="A169" s="12" t="s">
        <v>199</v>
      </c>
      <c r="B169" s="12" t="s">
        <v>14</v>
      </c>
      <c r="C169" s="98">
        <v>45385</v>
      </c>
      <c r="D169" s="187" t="s">
        <v>15</v>
      </c>
      <c r="E169" s="187" t="s">
        <v>34</v>
      </c>
      <c r="F169" s="13">
        <v>2762</v>
      </c>
      <c r="G169" s="13">
        <v>339</v>
      </c>
      <c r="H169" s="13">
        <v>323</v>
      </c>
      <c r="I169" s="13">
        <v>33757</v>
      </c>
      <c r="J169" s="13">
        <v>68511</v>
      </c>
      <c r="K169" s="13">
        <v>121</v>
      </c>
      <c r="L169" s="12" t="s">
        <v>370</v>
      </c>
      <c r="M169" s="12" t="s">
        <v>38</v>
      </c>
      <c r="N169" s="12" t="s">
        <v>35</v>
      </c>
      <c r="O169" s="190" t="s">
        <v>17</v>
      </c>
      <c r="P169" s="30">
        <f t="shared" si="2"/>
        <v>0.10143081434961637</v>
      </c>
      <c r="R169" s="58"/>
      <c r="S169" s="58"/>
    </row>
    <row r="170" spans="1:19" ht="15.75" hidden="1" customHeight="1">
      <c r="A170" s="12" t="s">
        <v>200</v>
      </c>
      <c r="B170" s="12" t="s">
        <v>28</v>
      </c>
      <c r="C170" s="98">
        <v>45660</v>
      </c>
      <c r="D170" s="12" t="s">
        <v>15</v>
      </c>
      <c r="E170" s="12" t="s">
        <v>25</v>
      </c>
      <c r="F170" s="13">
        <v>3782</v>
      </c>
      <c r="G170" s="13">
        <v>484</v>
      </c>
      <c r="H170" s="13">
        <v>144</v>
      </c>
      <c r="I170" s="13">
        <v>52172</v>
      </c>
      <c r="J170" s="13">
        <v>59386</v>
      </c>
      <c r="K170" s="13">
        <v>175</v>
      </c>
      <c r="L170" s="12" t="s">
        <v>372</v>
      </c>
      <c r="M170" s="12" t="s">
        <v>20</v>
      </c>
      <c r="N170" s="12" t="s">
        <v>352</v>
      </c>
      <c r="O170" s="69" t="s">
        <v>21</v>
      </c>
      <c r="P170" s="53">
        <f t="shared" si="2"/>
        <v>8.4528099363643333E-2</v>
      </c>
      <c r="R170" s="58"/>
      <c r="S170" s="58"/>
    </row>
    <row r="171" spans="1:19" ht="15.75" hidden="1" customHeight="1">
      <c r="A171" s="12" t="s">
        <v>201</v>
      </c>
      <c r="B171" s="12" t="s">
        <v>23</v>
      </c>
      <c r="C171" s="98">
        <v>45619</v>
      </c>
      <c r="D171" s="12" t="s">
        <v>15</v>
      </c>
      <c r="E171" s="12" t="s">
        <v>25</v>
      </c>
      <c r="F171" s="13">
        <v>4318</v>
      </c>
      <c r="G171" s="13">
        <v>371</v>
      </c>
      <c r="H171" s="13">
        <v>329</v>
      </c>
      <c r="I171" s="13">
        <v>32347</v>
      </c>
      <c r="J171" s="13">
        <v>68956</v>
      </c>
      <c r="K171" s="13">
        <v>259</v>
      </c>
      <c r="L171" s="12" t="s">
        <v>38</v>
      </c>
      <c r="M171" s="12" t="s">
        <v>38</v>
      </c>
      <c r="N171" s="12"/>
      <c r="O171" s="69" t="s">
        <v>21</v>
      </c>
      <c r="P171" s="53">
        <f t="shared" si="2"/>
        <v>0.15513030574705536</v>
      </c>
      <c r="R171" s="58"/>
      <c r="S171" s="58"/>
    </row>
    <row r="172" spans="1:19" ht="15.75" hidden="1" customHeight="1">
      <c r="A172" s="12" t="s">
        <v>202</v>
      </c>
      <c r="B172" s="12" t="s">
        <v>14</v>
      </c>
      <c r="C172" s="98">
        <v>45536</v>
      </c>
      <c r="D172" s="12" t="s">
        <v>24</v>
      </c>
      <c r="E172" s="12" t="s">
        <v>353</v>
      </c>
      <c r="F172" s="13">
        <v>2335</v>
      </c>
      <c r="G172" s="13">
        <v>150</v>
      </c>
      <c r="H172" s="13">
        <v>75</v>
      </c>
      <c r="I172" s="13">
        <v>26114</v>
      </c>
      <c r="J172" s="13">
        <v>57549</v>
      </c>
      <c r="K172" s="13">
        <v>135</v>
      </c>
      <c r="L172" s="12" t="s">
        <v>35</v>
      </c>
      <c r="M172" s="12" t="s">
        <v>35</v>
      </c>
      <c r="N172" s="12"/>
      <c r="O172" s="69" t="s">
        <v>47</v>
      </c>
      <c r="P172" s="53">
        <f t="shared" si="2"/>
        <v>9.8031707130274953E-2</v>
      </c>
      <c r="R172" s="58"/>
      <c r="S172" s="58"/>
    </row>
    <row r="173" spans="1:19" ht="15.75" hidden="1" customHeight="1">
      <c r="A173" s="12" t="s">
        <v>203</v>
      </c>
      <c r="B173" s="12" t="s">
        <v>28</v>
      </c>
      <c r="C173" s="98">
        <v>45400</v>
      </c>
      <c r="D173" s="12" t="s">
        <v>15</v>
      </c>
      <c r="E173" s="12" t="s">
        <v>19</v>
      </c>
      <c r="F173" s="13">
        <v>4023</v>
      </c>
      <c r="G173" s="13">
        <v>293</v>
      </c>
      <c r="H173" s="13">
        <v>91</v>
      </c>
      <c r="I173" s="13">
        <v>26795</v>
      </c>
      <c r="J173" s="13">
        <v>28924</v>
      </c>
      <c r="K173" s="13">
        <v>278</v>
      </c>
      <c r="L173" s="12" t="s">
        <v>372</v>
      </c>
      <c r="M173" s="12" t="s">
        <v>20</v>
      </c>
      <c r="N173" s="12" t="s">
        <v>352</v>
      </c>
      <c r="O173" s="69" t="s">
        <v>21</v>
      </c>
      <c r="P173" s="53">
        <f t="shared" si="2"/>
        <v>0.16447098339242397</v>
      </c>
      <c r="R173" s="58"/>
      <c r="S173" s="58"/>
    </row>
    <row r="174" spans="1:19" ht="15.75" hidden="1" customHeight="1">
      <c r="A174" s="12" t="s">
        <v>204</v>
      </c>
      <c r="B174" s="12" t="s">
        <v>14</v>
      </c>
      <c r="C174" s="98">
        <v>45447</v>
      </c>
      <c r="D174" s="12" t="s">
        <v>15</v>
      </c>
      <c r="E174" s="12" t="s">
        <v>31</v>
      </c>
      <c r="F174" s="13">
        <v>3948</v>
      </c>
      <c r="G174" s="13">
        <v>151</v>
      </c>
      <c r="H174" s="13">
        <v>249</v>
      </c>
      <c r="I174" s="13">
        <v>43147</v>
      </c>
      <c r="J174" s="13">
        <v>63136</v>
      </c>
      <c r="K174" s="13">
        <v>230</v>
      </c>
      <c r="L174" s="12" t="s">
        <v>20</v>
      </c>
      <c r="M174" s="12" t="s">
        <v>20</v>
      </c>
      <c r="N174" s="12"/>
      <c r="O174" s="69" t="s">
        <v>21</v>
      </c>
      <c r="P174" s="53">
        <f t="shared" si="2"/>
        <v>0.10077178019329269</v>
      </c>
      <c r="R174" s="58"/>
      <c r="S174" s="58"/>
    </row>
    <row r="175" spans="1:19" ht="15.75" hidden="1" customHeight="1">
      <c r="A175" s="12" t="s">
        <v>205</v>
      </c>
      <c r="B175" s="12" t="s">
        <v>28</v>
      </c>
      <c r="C175" s="98">
        <v>45749</v>
      </c>
      <c r="D175" s="12" t="s">
        <v>15</v>
      </c>
      <c r="E175" s="12" t="s">
        <v>353</v>
      </c>
      <c r="F175" s="13">
        <v>4598</v>
      </c>
      <c r="G175" s="13">
        <v>455</v>
      </c>
      <c r="H175" s="13">
        <v>378</v>
      </c>
      <c r="I175" s="13">
        <v>52952</v>
      </c>
      <c r="J175" s="13">
        <v>58504</v>
      </c>
      <c r="K175" s="13">
        <v>269</v>
      </c>
      <c r="L175" s="12" t="s">
        <v>372</v>
      </c>
      <c r="M175" s="12" t="s">
        <v>20</v>
      </c>
      <c r="N175" s="12" t="s">
        <v>352</v>
      </c>
      <c r="O175" s="69" t="s">
        <v>21</v>
      </c>
      <c r="P175" s="53">
        <f t="shared" si="2"/>
        <v>0.10256458679558846</v>
      </c>
      <c r="R175" s="58"/>
      <c r="S175" s="58"/>
    </row>
    <row r="176" spans="1:19" ht="15.75" customHeight="1">
      <c r="A176" s="12" t="s">
        <v>206</v>
      </c>
      <c r="B176" s="12" t="s">
        <v>23</v>
      </c>
      <c r="C176" s="98">
        <v>45748</v>
      </c>
      <c r="D176" s="187" t="s">
        <v>24</v>
      </c>
      <c r="E176" s="187" t="s">
        <v>356</v>
      </c>
      <c r="F176" s="13">
        <v>2665</v>
      </c>
      <c r="G176" s="13">
        <v>143</v>
      </c>
      <c r="H176" s="13">
        <v>315</v>
      </c>
      <c r="I176" s="13">
        <v>54808</v>
      </c>
      <c r="J176" s="13">
        <v>29818</v>
      </c>
      <c r="K176" s="13">
        <v>98</v>
      </c>
      <c r="L176" s="12" t="s">
        <v>373</v>
      </c>
      <c r="M176" s="12" t="s">
        <v>20</v>
      </c>
      <c r="N176" s="12" t="s">
        <v>351</v>
      </c>
      <c r="O176" s="190" t="s">
        <v>17</v>
      </c>
      <c r="P176" s="30">
        <f t="shared" si="2"/>
        <v>5.6980732739746021E-2</v>
      </c>
      <c r="R176" s="58"/>
      <c r="S176" s="58"/>
    </row>
    <row r="177" spans="1:19" ht="15.75" customHeight="1">
      <c r="A177" s="12" t="s">
        <v>207</v>
      </c>
      <c r="B177" s="12" t="s">
        <v>14</v>
      </c>
      <c r="C177" s="98">
        <v>45475</v>
      </c>
      <c r="D177" s="187" t="s">
        <v>15</v>
      </c>
      <c r="E177" s="187" t="s">
        <v>34</v>
      </c>
      <c r="F177" s="13">
        <v>3469</v>
      </c>
      <c r="G177" s="13">
        <v>371</v>
      </c>
      <c r="H177" s="13">
        <v>76</v>
      </c>
      <c r="I177" s="13">
        <v>46493</v>
      </c>
      <c r="J177" s="13">
        <v>26906</v>
      </c>
      <c r="K177" s="13">
        <v>150</v>
      </c>
      <c r="L177" s="12" t="s">
        <v>370</v>
      </c>
      <c r="M177" s="12" t="s">
        <v>38</v>
      </c>
      <c r="N177" s="12" t="s">
        <v>35</v>
      </c>
      <c r="O177" s="190" t="s">
        <v>17</v>
      </c>
      <c r="P177" s="30">
        <f t="shared" si="2"/>
        <v>8.4227733207149463E-2</v>
      </c>
      <c r="R177" s="58"/>
      <c r="S177" s="58"/>
    </row>
    <row r="178" spans="1:19" ht="15.75" hidden="1" customHeight="1">
      <c r="A178" s="12" t="s">
        <v>208</v>
      </c>
      <c r="B178" s="12" t="s">
        <v>23</v>
      </c>
      <c r="C178" s="98">
        <v>45606</v>
      </c>
      <c r="D178" s="12" t="s">
        <v>15</v>
      </c>
      <c r="E178" s="12" t="s">
        <v>19</v>
      </c>
      <c r="F178" s="13">
        <v>4823</v>
      </c>
      <c r="G178" s="13">
        <v>489</v>
      </c>
      <c r="H178" s="13">
        <v>302</v>
      </c>
      <c r="I178" s="13">
        <v>32470</v>
      </c>
      <c r="J178" s="13">
        <v>31861</v>
      </c>
      <c r="K178" s="13">
        <v>178</v>
      </c>
      <c r="L178" s="12" t="s">
        <v>38</v>
      </c>
      <c r="M178" s="12" t="s">
        <v>38</v>
      </c>
      <c r="N178" s="12"/>
      <c r="O178" s="69" t="s">
        <v>21</v>
      </c>
      <c r="P178" s="53">
        <f t="shared" si="2"/>
        <v>0.1728980597474592</v>
      </c>
      <c r="R178" s="58"/>
      <c r="S178" s="58"/>
    </row>
    <row r="179" spans="1:19" ht="15.75" hidden="1" customHeight="1">
      <c r="A179" s="12" t="s">
        <v>209</v>
      </c>
      <c r="B179" s="12" t="s">
        <v>14</v>
      </c>
      <c r="C179" s="98">
        <v>45640</v>
      </c>
      <c r="D179" s="12" t="s">
        <v>24</v>
      </c>
      <c r="E179" s="12" t="s">
        <v>355</v>
      </c>
      <c r="F179" s="13">
        <v>3812</v>
      </c>
      <c r="G179" s="13">
        <v>321</v>
      </c>
      <c r="H179" s="13">
        <v>289</v>
      </c>
      <c r="I179" s="13">
        <v>59838</v>
      </c>
      <c r="J179" s="13">
        <v>36337</v>
      </c>
      <c r="K179" s="13">
        <v>161</v>
      </c>
      <c r="L179" s="12" t="s">
        <v>35</v>
      </c>
      <c r="M179" s="12" t="s">
        <v>35</v>
      </c>
      <c r="N179" s="12"/>
      <c r="O179" s="69" t="s">
        <v>47</v>
      </c>
      <c r="P179" s="53">
        <f t="shared" si="2"/>
        <v>7.3899528727564417E-2</v>
      </c>
      <c r="R179" s="58"/>
      <c r="S179" s="58"/>
    </row>
    <row r="180" spans="1:19" ht="15.75" hidden="1" customHeight="1">
      <c r="A180" s="12" t="s">
        <v>210</v>
      </c>
      <c r="B180" s="12" t="s">
        <v>23</v>
      </c>
      <c r="C180" s="98">
        <v>45615</v>
      </c>
      <c r="D180" s="12" t="s">
        <v>15</v>
      </c>
      <c r="E180" s="12" t="s">
        <v>19</v>
      </c>
      <c r="F180" s="13">
        <v>2387</v>
      </c>
      <c r="G180" s="13">
        <v>353</v>
      </c>
      <c r="H180" s="13">
        <v>78</v>
      </c>
      <c r="I180" s="13">
        <v>39745</v>
      </c>
      <c r="J180" s="13">
        <v>69226</v>
      </c>
      <c r="K180" s="13">
        <v>208</v>
      </c>
      <c r="L180" s="12" t="s">
        <v>38</v>
      </c>
      <c r="M180" s="12" t="s">
        <v>38</v>
      </c>
      <c r="N180" s="12"/>
      <c r="O180" s="69" t="s">
        <v>21</v>
      </c>
      <c r="P180" s="53">
        <f t="shared" si="2"/>
        <v>7.090200025160398E-2</v>
      </c>
      <c r="R180" s="31"/>
      <c r="S180" s="58"/>
    </row>
    <row r="181" spans="1:19" ht="15.75" customHeight="1">
      <c r="A181" s="12" t="s">
        <v>211</v>
      </c>
      <c r="B181" s="12" t="s">
        <v>23</v>
      </c>
      <c r="C181" s="98">
        <v>45777</v>
      </c>
      <c r="D181" s="187" t="s">
        <v>24</v>
      </c>
      <c r="E181" s="187" t="s">
        <v>353</v>
      </c>
      <c r="F181" s="13">
        <v>3929</v>
      </c>
      <c r="G181" s="13">
        <v>275</v>
      </c>
      <c r="H181" s="13">
        <v>330</v>
      </c>
      <c r="I181" s="13">
        <v>58329</v>
      </c>
      <c r="J181" s="13">
        <v>33196</v>
      </c>
      <c r="K181" s="13">
        <v>85</v>
      </c>
      <c r="L181" s="12" t="s">
        <v>371</v>
      </c>
      <c r="M181" s="12" t="s">
        <v>351</v>
      </c>
      <c r="N181" s="12" t="s">
        <v>35</v>
      </c>
      <c r="O181" s="190" t="s">
        <v>17</v>
      </c>
      <c r="P181" s="30">
        <f t="shared" si="2"/>
        <v>7.7731488624869283E-2</v>
      </c>
      <c r="R181" s="31"/>
      <c r="S181" s="58"/>
    </row>
    <row r="182" spans="1:19" ht="15.75" hidden="1" customHeight="1">
      <c r="A182" s="12" t="s">
        <v>212</v>
      </c>
      <c r="B182" s="12" t="s">
        <v>23</v>
      </c>
      <c r="C182" s="98">
        <v>45370</v>
      </c>
      <c r="D182" s="12" t="s">
        <v>15</v>
      </c>
      <c r="E182" s="12" t="s">
        <v>355</v>
      </c>
      <c r="F182" s="13">
        <v>2191</v>
      </c>
      <c r="G182" s="13">
        <v>288</v>
      </c>
      <c r="H182" s="13">
        <v>83</v>
      </c>
      <c r="I182" s="13">
        <v>59606</v>
      </c>
      <c r="J182" s="13">
        <v>24765</v>
      </c>
      <c r="K182" s="13">
        <v>281</v>
      </c>
      <c r="L182" s="12" t="s">
        <v>38</v>
      </c>
      <c r="M182" s="12" t="s">
        <v>38</v>
      </c>
      <c r="N182" s="12"/>
      <c r="O182" s="69" t="s">
        <v>21</v>
      </c>
      <c r="P182" s="53">
        <f t="shared" si="2"/>
        <v>4.2982250109049422E-2</v>
      </c>
      <c r="R182" s="31"/>
      <c r="S182" s="58"/>
    </row>
    <row r="183" spans="1:19" ht="15.75" customHeight="1">
      <c r="A183" s="12" t="s">
        <v>213</v>
      </c>
      <c r="B183" s="12" t="s">
        <v>14</v>
      </c>
      <c r="C183" s="98">
        <v>45370</v>
      </c>
      <c r="D183" s="187" t="s">
        <v>15</v>
      </c>
      <c r="E183" s="187" t="s">
        <v>355</v>
      </c>
      <c r="F183" s="13">
        <v>2878</v>
      </c>
      <c r="G183" s="13">
        <v>278</v>
      </c>
      <c r="H183" s="13">
        <v>255</v>
      </c>
      <c r="I183" s="13">
        <v>47235</v>
      </c>
      <c r="J183" s="13">
        <v>57922</v>
      </c>
      <c r="K183" s="13">
        <v>112</v>
      </c>
      <c r="L183" s="12" t="s">
        <v>370</v>
      </c>
      <c r="M183" s="12" t="s">
        <v>38</v>
      </c>
      <c r="N183" s="12" t="s">
        <v>35</v>
      </c>
      <c r="O183" s="190" t="s">
        <v>17</v>
      </c>
      <c r="P183" s="30">
        <f t="shared" si="2"/>
        <v>7.2213401079707848E-2</v>
      </c>
      <c r="R183" s="31"/>
      <c r="S183" s="58"/>
    </row>
    <row r="184" spans="1:19" ht="15.75" hidden="1" customHeight="1">
      <c r="A184" s="12" t="s">
        <v>214</v>
      </c>
      <c r="B184" s="12" t="s">
        <v>23</v>
      </c>
      <c r="C184" s="98">
        <v>45496</v>
      </c>
      <c r="D184" s="12" t="s">
        <v>15</v>
      </c>
      <c r="E184" s="12" t="s">
        <v>34</v>
      </c>
      <c r="F184" s="13">
        <v>3204</v>
      </c>
      <c r="G184" s="13">
        <v>398</v>
      </c>
      <c r="H184" s="13">
        <v>85</v>
      </c>
      <c r="I184" s="13">
        <v>22020</v>
      </c>
      <c r="J184" s="13">
        <v>58353</v>
      </c>
      <c r="K184" s="13">
        <v>286</v>
      </c>
      <c r="L184" s="12" t="s">
        <v>38</v>
      </c>
      <c r="M184" s="12" t="s">
        <v>38</v>
      </c>
      <c r="N184" s="12"/>
      <c r="O184" s="69" t="s">
        <v>21</v>
      </c>
      <c r="P184" s="53">
        <f t="shared" si="2"/>
        <v>0.16743869209809265</v>
      </c>
      <c r="R184" s="31"/>
      <c r="S184" s="58"/>
    </row>
    <row r="185" spans="1:19" ht="15.75" customHeight="1">
      <c r="A185" s="12" t="s">
        <v>215</v>
      </c>
      <c r="B185" s="12" t="s">
        <v>23</v>
      </c>
      <c r="C185" s="98">
        <v>45486</v>
      </c>
      <c r="D185" s="187" t="s">
        <v>24</v>
      </c>
      <c r="E185" s="187" t="s">
        <v>31</v>
      </c>
      <c r="F185" s="13">
        <v>2408</v>
      </c>
      <c r="G185" s="13">
        <v>323</v>
      </c>
      <c r="H185" s="13">
        <v>251</v>
      </c>
      <c r="I185" s="13">
        <v>47599</v>
      </c>
      <c r="J185" s="13">
        <v>35543</v>
      </c>
      <c r="K185" s="13">
        <v>287</v>
      </c>
      <c r="L185" s="12" t="s">
        <v>371</v>
      </c>
      <c r="M185" s="12" t="s">
        <v>351</v>
      </c>
      <c r="N185" s="12" t="s">
        <v>35</v>
      </c>
      <c r="O185" s="190" t="s">
        <v>17</v>
      </c>
      <c r="P185" s="30">
        <f t="shared" si="2"/>
        <v>6.2648374965860634E-2</v>
      </c>
      <c r="R185" s="31"/>
      <c r="S185" s="58"/>
    </row>
    <row r="186" spans="1:19" ht="15.75" hidden="1" customHeight="1">
      <c r="A186" s="12" t="s">
        <v>216</v>
      </c>
      <c r="B186" s="12" t="s">
        <v>28</v>
      </c>
      <c r="C186" s="98">
        <v>45769</v>
      </c>
      <c r="D186" s="12" t="s">
        <v>49</v>
      </c>
      <c r="E186" s="12" t="s">
        <v>25</v>
      </c>
      <c r="F186" s="13">
        <v>2733</v>
      </c>
      <c r="G186" s="13">
        <v>297</v>
      </c>
      <c r="H186" s="13">
        <v>235</v>
      </c>
      <c r="I186" s="13">
        <v>37980</v>
      </c>
      <c r="J186" s="13">
        <v>33058</v>
      </c>
      <c r="K186" s="13">
        <v>219</v>
      </c>
      <c r="L186" s="12" t="s">
        <v>374</v>
      </c>
      <c r="M186" s="12" t="s">
        <v>20</v>
      </c>
      <c r="N186" s="12" t="s">
        <v>38</v>
      </c>
      <c r="O186" s="69" t="s">
        <v>50</v>
      </c>
      <c r="P186" s="53">
        <f t="shared" si="2"/>
        <v>8.5966298051606105E-2</v>
      </c>
      <c r="R186" s="31"/>
      <c r="S186" s="58"/>
    </row>
    <row r="187" spans="1:19" ht="15.75" customHeight="1">
      <c r="A187" s="12" t="s">
        <v>217</v>
      </c>
      <c r="B187" s="12" t="s">
        <v>23</v>
      </c>
      <c r="C187" s="98">
        <v>45459</v>
      </c>
      <c r="D187" s="187" t="s">
        <v>24</v>
      </c>
      <c r="E187" s="187" t="s">
        <v>19</v>
      </c>
      <c r="F187" s="13">
        <v>4618</v>
      </c>
      <c r="G187" s="13">
        <v>312</v>
      </c>
      <c r="H187" s="13">
        <v>254</v>
      </c>
      <c r="I187" s="13">
        <v>22571</v>
      </c>
      <c r="J187" s="13">
        <v>29453</v>
      </c>
      <c r="K187" s="13">
        <v>197</v>
      </c>
      <c r="L187" s="12" t="s">
        <v>371</v>
      </c>
      <c r="M187" s="12" t="s">
        <v>351</v>
      </c>
      <c r="N187" s="12" t="s">
        <v>35</v>
      </c>
      <c r="O187" s="190" t="s">
        <v>17</v>
      </c>
      <c r="P187" s="30">
        <f t="shared" si="2"/>
        <v>0.22967524699836073</v>
      </c>
      <c r="R187" s="31"/>
      <c r="S187" s="58"/>
    </row>
    <row r="188" spans="1:19" ht="15.75" hidden="1" customHeight="1">
      <c r="A188" s="12" t="s">
        <v>218</v>
      </c>
      <c r="B188" s="12" t="s">
        <v>28</v>
      </c>
      <c r="C188" s="98">
        <v>45795</v>
      </c>
      <c r="D188" s="12" t="s">
        <v>49</v>
      </c>
      <c r="E188" s="12" t="s">
        <v>353</v>
      </c>
      <c r="F188" s="13">
        <v>4210</v>
      </c>
      <c r="G188" s="13">
        <v>319</v>
      </c>
      <c r="H188" s="13">
        <v>350</v>
      </c>
      <c r="I188" s="13">
        <v>37762</v>
      </c>
      <c r="J188" s="13">
        <v>55162</v>
      </c>
      <c r="K188" s="13">
        <v>204</v>
      </c>
      <c r="L188" s="12" t="s">
        <v>374</v>
      </c>
      <c r="M188" s="12" t="s">
        <v>20</v>
      </c>
      <c r="N188" s="12" t="s">
        <v>38</v>
      </c>
      <c r="O188" s="69" t="s">
        <v>50</v>
      </c>
      <c r="P188" s="53">
        <f t="shared" si="2"/>
        <v>0.12920396165457337</v>
      </c>
      <c r="R188" s="31"/>
      <c r="S188" s="58"/>
    </row>
    <row r="189" spans="1:19" ht="15.75" hidden="1" customHeight="1">
      <c r="A189" s="12" t="s">
        <v>219</v>
      </c>
      <c r="B189" s="12" t="s">
        <v>14</v>
      </c>
      <c r="C189" s="98">
        <v>45814</v>
      </c>
      <c r="D189" s="12" t="s">
        <v>15</v>
      </c>
      <c r="E189" s="12" t="s">
        <v>353</v>
      </c>
      <c r="F189" s="13">
        <v>3987</v>
      </c>
      <c r="G189" s="13">
        <v>171</v>
      </c>
      <c r="H189" s="13">
        <v>274</v>
      </c>
      <c r="I189" s="13">
        <v>45122</v>
      </c>
      <c r="J189" s="13">
        <v>65431</v>
      </c>
      <c r="K189" s="13">
        <v>168</v>
      </c>
      <c r="L189" s="12" t="s">
        <v>20</v>
      </c>
      <c r="M189" s="12" t="s">
        <v>20</v>
      </c>
      <c r="N189" s="12"/>
      <c r="O189" s="69" t="s">
        <v>21</v>
      </c>
      <c r="P189" s="53">
        <f t="shared" si="2"/>
        <v>9.8222596516111871E-2</v>
      </c>
      <c r="R189" s="31"/>
      <c r="S189" s="58"/>
    </row>
    <row r="190" spans="1:19" ht="15.75" hidden="1" customHeight="1">
      <c r="A190" s="12" t="s">
        <v>220</v>
      </c>
      <c r="B190" s="12" t="s">
        <v>28</v>
      </c>
      <c r="C190" s="98">
        <v>45708</v>
      </c>
      <c r="D190" s="12" t="s">
        <v>49</v>
      </c>
      <c r="E190" s="12" t="s">
        <v>31</v>
      </c>
      <c r="F190" s="13">
        <v>4957</v>
      </c>
      <c r="G190" s="13">
        <v>262</v>
      </c>
      <c r="H190" s="13">
        <v>365</v>
      </c>
      <c r="I190" s="13">
        <v>49199</v>
      </c>
      <c r="J190" s="13">
        <v>40314</v>
      </c>
      <c r="K190" s="13">
        <v>216</v>
      </c>
      <c r="L190" s="12" t="s">
        <v>374</v>
      </c>
      <c r="M190" s="12" t="s">
        <v>20</v>
      </c>
      <c r="N190" s="12" t="s">
        <v>38</v>
      </c>
      <c r="O190" s="69" t="s">
        <v>50</v>
      </c>
      <c r="P190" s="53">
        <f t="shared" si="2"/>
        <v>0.11349824183418362</v>
      </c>
      <c r="R190" s="31"/>
      <c r="S190" s="58"/>
    </row>
    <row r="191" spans="1:19" ht="15.75" customHeight="1">
      <c r="A191" s="12" t="s">
        <v>221</v>
      </c>
      <c r="B191" s="12" t="s">
        <v>14</v>
      </c>
      <c r="C191" s="98">
        <v>45673</v>
      </c>
      <c r="D191" s="187" t="s">
        <v>15</v>
      </c>
      <c r="E191" s="187" t="s">
        <v>356</v>
      </c>
      <c r="F191" s="13">
        <v>2605</v>
      </c>
      <c r="G191" s="13">
        <v>282</v>
      </c>
      <c r="H191" s="13">
        <v>148</v>
      </c>
      <c r="I191" s="13">
        <v>32201</v>
      </c>
      <c r="J191" s="13">
        <v>49583</v>
      </c>
      <c r="K191" s="13">
        <v>241</v>
      </c>
      <c r="L191" s="12" t="s">
        <v>370</v>
      </c>
      <c r="M191" s="12" t="s">
        <v>38</v>
      </c>
      <c r="N191" s="12" t="s">
        <v>35</v>
      </c>
      <c r="O191" s="190" t="s">
        <v>17</v>
      </c>
      <c r="P191" s="30">
        <f t="shared" si="2"/>
        <v>9.4251731312692155E-2</v>
      </c>
      <c r="S191" s="58"/>
    </row>
    <row r="192" spans="1:19" ht="15.75" hidden="1" customHeight="1">
      <c r="A192" s="12" t="s">
        <v>222</v>
      </c>
      <c r="B192" s="12" t="s">
        <v>28</v>
      </c>
      <c r="C192" s="98">
        <v>45346</v>
      </c>
      <c r="D192" s="12" t="s">
        <v>49</v>
      </c>
      <c r="E192" s="12" t="s">
        <v>16</v>
      </c>
      <c r="F192" s="13">
        <v>4221</v>
      </c>
      <c r="G192" s="13">
        <v>307</v>
      </c>
      <c r="H192" s="13">
        <v>58</v>
      </c>
      <c r="I192" s="13">
        <v>45080</v>
      </c>
      <c r="J192" s="13">
        <v>37214</v>
      </c>
      <c r="K192" s="13">
        <v>240</v>
      </c>
      <c r="L192" s="12" t="s">
        <v>374</v>
      </c>
      <c r="M192" s="12" t="s">
        <v>20</v>
      </c>
      <c r="N192" s="12" t="s">
        <v>38</v>
      </c>
      <c r="O192" s="69" t="s">
        <v>50</v>
      </c>
      <c r="P192" s="53">
        <f t="shared" si="2"/>
        <v>0.10173025732031943</v>
      </c>
      <c r="R192" s="31"/>
      <c r="S192" s="58"/>
    </row>
    <row r="193" spans="1:18" s="58" customFormat="1" ht="15.75" customHeight="1">
      <c r="A193" s="12" t="s">
        <v>223</v>
      </c>
      <c r="B193" s="12" t="s">
        <v>23</v>
      </c>
      <c r="C193" s="98">
        <v>45551</v>
      </c>
      <c r="D193" s="187" t="s">
        <v>24</v>
      </c>
      <c r="E193" s="187" t="s">
        <v>354</v>
      </c>
      <c r="F193" s="13">
        <v>4422</v>
      </c>
      <c r="G193" s="13">
        <v>434</v>
      </c>
      <c r="H193" s="13">
        <v>156</v>
      </c>
      <c r="I193" s="13">
        <v>56165</v>
      </c>
      <c r="J193" s="13">
        <v>52431</v>
      </c>
      <c r="K193" s="13">
        <v>173</v>
      </c>
      <c r="L193" s="12" t="s">
        <v>373</v>
      </c>
      <c r="M193" s="12" t="s">
        <v>20</v>
      </c>
      <c r="N193" s="12" t="s">
        <v>351</v>
      </c>
      <c r="O193" s="190" t="s">
        <v>17</v>
      </c>
      <c r="P193" s="30">
        <f t="shared" si="2"/>
        <v>8.9237069349238848E-2</v>
      </c>
      <c r="Q193" s="31"/>
      <c r="R193" s="31"/>
    </row>
    <row r="194" spans="1:18" s="58" customFormat="1" ht="15.75" hidden="1" customHeight="1">
      <c r="A194" s="12" t="s">
        <v>224</v>
      </c>
      <c r="B194" s="12" t="s">
        <v>28</v>
      </c>
      <c r="C194" s="98">
        <v>45447</v>
      </c>
      <c r="D194" s="12" t="s">
        <v>49</v>
      </c>
      <c r="E194" s="12" t="s">
        <v>353</v>
      </c>
      <c r="F194" s="13">
        <v>1211</v>
      </c>
      <c r="G194" s="13">
        <v>431</v>
      </c>
      <c r="H194" s="13">
        <v>83</v>
      </c>
      <c r="I194" s="13">
        <v>26532</v>
      </c>
      <c r="J194" s="13">
        <v>47305</v>
      </c>
      <c r="K194" s="13">
        <v>232</v>
      </c>
      <c r="L194" s="12" t="s">
        <v>374</v>
      </c>
      <c r="M194" s="12" t="s">
        <v>20</v>
      </c>
      <c r="N194" s="12" t="s">
        <v>38</v>
      </c>
      <c r="O194" s="69" t="s">
        <v>50</v>
      </c>
      <c r="P194" s="53">
        <f t="shared" ref="P194:P257" si="3">(F194+G194+H194)/I194</f>
        <v>6.5015829941203071E-2</v>
      </c>
      <c r="Q194" s="31"/>
      <c r="R194" s="31"/>
    </row>
    <row r="195" spans="1:18" s="58" customFormat="1" ht="15.75" customHeight="1">
      <c r="A195" s="12" t="s">
        <v>225</v>
      </c>
      <c r="B195" s="12" t="s">
        <v>23</v>
      </c>
      <c r="C195" s="98">
        <v>45422</v>
      </c>
      <c r="D195" s="187" t="s">
        <v>24</v>
      </c>
      <c r="E195" s="187" t="s">
        <v>19</v>
      </c>
      <c r="F195" s="13">
        <v>2784</v>
      </c>
      <c r="G195" s="13">
        <v>111</v>
      </c>
      <c r="H195" s="13">
        <v>399</v>
      </c>
      <c r="I195" s="13">
        <v>58366</v>
      </c>
      <c r="J195" s="13">
        <v>69512</v>
      </c>
      <c r="K195" s="13">
        <v>269</v>
      </c>
      <c r="L195" s="12" t="s">
        <v>371</v>
      </c>
      <c r="M195" s="12" t="s">
        <v>351</v>
      </c>
      <c r="N195" s="12" t="s">
        <v>35</v>
      </c>
      <c r="O195" s="190" t="s">
        <v>17</v>
      </c>
      <c r="P195" s="30">
        <f t="shared" si="3"/>
        <v>5.6436966727204191E-2</v>
      </c>
      <c r="Q195" s="31"/>
      <c r="R195" s="31"/>
    </row>
    <row r="196" spans="1:18" s="58" customFormat="1" ht="15.75" hidden="1" customHeight="1">
      <c r="A196" s="12" t="s">
        <v>226</v>
      </c>
      <c r="B196" s="12" t="s">
        <v>28</v>
      </c>
      <c r="C196" s="98">
        <v>45305</v>
      </c>
      <c r="D196" s="12" t="s">
        <v>15</v>
      </c>
      <c r="E196" s="12" t="s">
        <v>25</v>
      </c>
      <c r="F196" s="13">
        <v>3634</v>
      </c>
      <c r="G196" s="13">
        <v>280</v>
      </c>
      <c r="H196" s="13">
        <v>399</v>
      </c>
      <c r="I196" s="13">
        <v>40256</v>
      </c>
      <c r="J196" s="13">
        <v>52605</v>
      </c>
      <c r="K196" s="13">
        <v>213</v>
      </c>
      <c r="L196" s="12" t="s">
        <v>372</v>
      </c>
      <c r="M196" s="12" t="s">
        <v>20</v>
      </c>
      <c r="N196" s="12" t="s">
        <v>352</v>
      </c>
      <c r="O196" s="69" t="s">
        <v>21</v>
      </c>
      <c r="P196" s="53">
        <f t="shared" si="3"/>
        <v>0.10713930842607314</v>
      </c>
      <c r="Q196" s="31"/>
      <c r="R196" s="31"/>
    </row>
    <row r="197" spans="1:18" s="58" customFormat="1" ht="15.75" customHeight="1">
      <c r="A197" s="12" t="s">
        <v>227</v>
      </c>
      <c r="B197" s="12" t="s">
        <v>14</v>
      </c>
      <c r="C197" s="98">
        <v>45669</v>
      </c>
      <c r="D197" s="187" t="s">
        <v>15</v>
      </c>
      <c r="E197" s="187" t="s">
        <v>355</v>
      </c>
      <c r="F197" s="13">
        <v>1771</v>
      </c>
      <c r="G197" s="13">
        <v>487</v>
      </c>
      <c r="H197" s="13">
        <v>272</v>
      </c>
      <c r="I197" s="13">
        <v>48810</v>
      </c>
      <c r="J197" s="13">
        <v>48084</v>
      </c>
      <c r="K197" s="13">
        <v>272</v>
      </c>
      <c r="L197" s="12" t="s">
        <v>370</v>
      </c>
      <c r="M197" s="12" t="s">
        <v>38</v>
      </c>
      <c r="N197" s="12" t="s">
        <v>35</v>
      </c>
      <c r="O197" s="190" t="s">
        <v>17</v>
      </c>
      <c r="P197" s="30">
        <f t="shared" si="3"/>
        <v>5.1833640647408315E-2</v>
      </c>
      <c r="Q197" s="31"/>
      <c r="R197" s="93"/>
    </row>
    <row r="198" spans="1:18" s="58" customFormat="1" ht="15.75" hidden="1" customHeight="1">
      <c r="A198" s="12" t="s">
        <v>228</v>
      </c>
      <c r="B198" s="12" t="s">
        <v>28</v>
      </c>
      <c r="C198" s="98">
        <v>45634</v>
      </c>
      <c r="D198" s="12" t="s">
        <v>15</v>
      </c>
      <c r="E198" s="12" t="s">
        <v>34</v>
      </c>
      <c r="F198" s="13">
        <v>1424</v>
      </c>
      <c r="G198" s="13">
        <v>396</v>
      </c>
      <c r="H198" s="13">
        <v>312</v>
      </c>
      <c r="I198" s="13">
        <v>59517</v>
      </c>
      <c r="J198" s="13">
        <v>46102</v>
      </c>
      <c r="K198" s="13">
        <v>239</v>
      </c>
      <c r="L198" s="12" t="s">
        <v>372</v>
      </c>
      <c r="M198" s="12" t="s">
        <v>20</v>
      </c>
      <c r="N198" s="12" t="s">
        <v>352</v>
      </c>
      <c r="O198" s="69" t="s">
        <v>21</v>
      </c>
      <c r="P198" s="53">
        <f t="shared" si="3"/>
        <v>3.5821698002251455E-2</v>
      </c>
      <c r="Q198" s="31"/>
      <c r="R198" s="31"/>
    </row>
    <row r="199" spans="1:18" s="58" customFormat="1" ht="15.75" customHeight="1">
      <c r="A199" s="12" t="s">
        <v>229</v>
      </c>
      <c r="B199" s="12" t="s">
        <v>23</v>
      </c>
      <c r="C199" s="98">
        <v>45689</v>
      </c>
      <c r="D199" s="187" t="s">
        <v>24</v>
      </c>
      <c r="E199" s="187" t="s">
        <v>34</v>
      </c>
      <c r="F199" s="13">
        <v>1079</v>
      </c>
      <c r="G199" s="13">
        <v>265</v>
      </c>
      <c r="H199" s="13">
        <v>190</v>
      </c>
      <c r="I199" s="13">
        <v>43786</v>
      </c>
      <c r="J199" s="13">
        <v>72428</v>
      </c>
      <c r="K199" s="13">
        <v>222</v>
      </c>
      <c r="L199" s="12" t="s">
        <v>370</v>
      </c>
      <c r="M199" s="12" t="s">
        <v>38</v>
      </c>
      <c r="N199" s="12" t="s">
        <v>35</v>
      </c>
      <c r="O199" s="190" t="s">
        <v>17</v>
      </c>
      <c r="P199" s="30">
        <f t="shared" si="3"/>
        <v>3.5034029141734799E-2</v>
      </c>
      <c r="Q199" s="31"/>
      <c r="R199" s="93"/>
    </row>
    <row r="200" spans="1:18" s="58" customFormat="1" ht="15.75" customHeight="1">
      <c r="A200" s="12" t="s">
        <v>230</v>
      </c>
      <c r="B200" s="12" t="s">
        <v>23</v>
      </c>
      <c r="C200" s="98">
        <v>45484</v>
      </c>
      <c r="D200" s="187" t="s">
        <v>24</v>
      </c>
      <c r="E200" s="187" t="s">
        <v>31</v>
      </c>
      <c r="F200" s="13">
        <v>4247</v>
      </c>
      <c r="G200" s="13">
        <v>179</v>
      </c>
      <c r="H200" s="13">
        <v>175</v>
      </c>
      <c r="I200" s="13">
        <v>32991</v>
      </c>
      <c r="J200" s="13">
        <v>70120</v>
      </c>
      <c r="K200" s="13">
        <v>276</v>
      </c>
      <c r="L200" s="12" t="s">
        <v>370</v>
      </c>
      <c r="M200" s="12" t="s">
        <v>38</v>
      </c>
      <c r="N200" s="12" t="s">
        <v>35</v>
      </c>
      <c r="O200" s="190" t="s">
        <v>17</v>
      </c>
      <c r="P200" s="30">
        <f t="shared" si="3"/>
        <v>0.13946227759085811</v>
      </c>
      <c r="Q200" s="31"/>
      <c r="R200" s="31"/>
    </row>
    <row r="201" spans="1:18" s="58" customFormat="1" ht="15.75" customHeight="1">
      <c r="A201" s="12" t="s">
        <v>231</v>
      </c>
      <c r="B201" s="12" t="s">
        <v>23</v>
      </c>
      <c r="C201" s="98">
        <v>45369</v>
      </c>
      <c r="D201" s="187" t="s">
        <v>15</v>
      </c>
      <c r="E201" s="187" t="s">
        <v>25</v>
      </c>
      <c r="F201" s="13">
        <v>2033</v>
      </c>
      <c r="G201" s="13">
        <v>420</v>
      </c>
      <c r="H201" s="13">
        <v>94</v>
      </c>
      <c r="I201" s="13">
        <v>56290</v>
      </c>
      <c r="J201" s="13">
        <v>57391</v>
      </c>
      <c r="K201" s="13">
        <v>196</v>
      </c>
      <c r="L201" s="12" t="s">
        <v>35</v>
      </c>
      <c r="M201" s="12" t="s">
        <v>35</v>
      </c>
      <c r="N201" s="12"/>
      <c r="O201" s="190" t="s">
        <v>17</v>
      </c>
      <c r="P201" s="30">
        <f t="shared" si="3"/>
        <v>4.5247823769763724E-2</v>
      </c>
      <c r="Q201" s="31"/>
      <c r="R201" s="31"/>
    </row>
    <row r="202" spans="1:18" s="58" customFormat="1" ht="15.75" customHeight="1">
      <c r="A202" s="12" t="s">
        <v>232</v>
      </c>
      <c r="B202" s="12" t="s">
        <v>23</v>
      </c>
      <c r="C202" s="98">
        <v>45547</v>
      </c>
      <c r="D202" s="187" t="s">
        <v>24</v>
      </c>
      <c r="E202" s="187" t="s">
        <v>353</v>
      </c>
      <c r="F202" s="13">
        <v>1839</v>
      </c>
      <c r="G202" s="13">
        <v>223</v>
      </c>
      <c r="H202" s="13">
        <v>171</v>
      </c>
      <c r="I202" s="13">
        <v>35459</v>
      </c>
      <c r="J202" s="13">
        <v>69988</v>
      </c>
      <c r="K202" s="13">
        <v>114</v>
      </c>
      <c r="L202" s="12" t="s">
        <v>371</v>
      </c>
      <c r="M202" s="12" t="s">
        <v>351</v>
      </c>
      <c r="N202" s="12" t="s">
        <v>35</v>
      </c>
      <c r="O202" s="190" t="s">
        <v>17</v>
      </c>
      <c r="P202" s="30">
        <f t="shared" si="3"/>
        <v>6.2974139146620034E-2</v>
      </c>
      <c r="Q202" s="31"/>
      <c r="R202" s="31"/>
    </row>
    <row r="203" spans="1:18" s="58" customFormat="1" ht="15.75" customHeight="1">
      <c r="A203" s="12" t="s">
        <v>233</v>
      </c>
      <c r="B203" s="12" t="s">
        <v>23</v>
      </c>
      <c r="C203" s="98">
        <v>45302</v>
      </c>
      <c r="D203" s="187" t="s">
        <v>24</v>
      </c>
      <c r="E203" s="187" t="s">
        <v>353</v>
      </c>
      <c r="F203" s="13">
        <v>2340</v>
      </c>
      <c r="G203" s="13">
        <v>141</v>
      </c>
      <c r="H203" s="13">
        <v>206</v>
      </c>
      <c r="I203" s="13">
        <v>24916</v>
      </c>
      <c r="J203" s="13">
        <v>30582</v>
      </c>
      <c r="K203" s="13">
        <v>157</v>
      </c>
      <c r="L203" s="12" t="s">
        <v>370</v>
      </c>
      <c r="M203" s="12" t="s">
        <v>38</v>
      </c>
      <c r="N203" s="12" t="s">
        <v>35</v>
      </c>
      <c r="O203" s="190" t="s">
        <v>17</v>
      </c>
      <c r="P203" s="30">
        <f t="shared" si="3"/>
        <v>0.10784235029699792</v>
      </c>
      <c r="Q203" s="31"/>
      <c r="R203" s="31"/>
    </row>
    <row r="204" spans="1:18" s="58" customFormat="1" ht="15.75" hidden="1" customHeight="1">
      <c r="A204" s="12" t="s">
        <v>234</v>
      </c>
      <c r="B204" s="12" t="s">
        <v>14</v>
      </c>
      <c r="C204" s="98">
        <v>45571</v>
      </c>
      <c r="D204" s="12" t="s">
        <v>15</v>
      </c>
      <c r="E204" s="12" t="s">
        <v>34</v>
      </c>
      <c r="F204" s="13">
        <v>2080</v>
      </c>
      <c r="G204" s="13">
        <v>389</v>
      </c>
      <c r="H204" s="13">
        <v>92</v>
      </c>
      <c r="I204" s="13">
        <v>30971</v>
      </c>
      <c r="J204" s="13">
        <v>25347</v>
      </c>
      <c r="K204" s="13">
        <v>111</v>
      </c>
      <c r="L204" s="12" t="s">
        <v>20</v>
      </c>
      <c r="M204" s="12" t="s">
        <v>20</v>
      </c>
      <c r="N204" s="12"/>
      <c r="O204" s="69" t="s">
        <v>21</v>
      </c>
      <c r="P204" s="53">
        <f t="shared" si="3"/>
        <v>8.2690258629040073E-2</v>
      </c>
      <c r="Q204" s="31"/>
      <c r="R204" s="31"/>
    </row>
    <row r="205" spans="1:18" s="58" customFormat="1" ht="15.75" customHeight="1">
      <c r="A205" s="12" t="s">
        <v>235</v>
      </c>
      <c r="B205" s="12" t="s">
        <v>23</v>
      </c>
      <c r="C205" s="98">
        <v>45656</v>
      </c>
      <c r="D205" s="187" t="s">
        <v>15</v>
      </c>
      <c r="E205" s="187" t="s">
        <v>31</v>
      </c>
      <c r="F205" s="13">
        <v>4214</v>
      </c>
      <c r="G205" s="13">
        <v>286</v>
      </c>
      <c r="H205" s="13">
        <v>127</v>
      </c>
      <c r="I205" s="13">
        <v>47293</v>
      </c>
      <c r="J205" s="13">
        <v>27184</v>
      </c>
      <c r="K205" s="13">
        <v>232</v>
      </c>
      <c r="L205" s="12" t="s">
        <v>35</v>
      </c>
      <c r="M205" s="12" t="s">
        <v>35</v>
      </c>
      <c r="N205" s="12"/>
      <c r="O205" s="190" t="s">
        <v>17</v>
      </c>
      <c r="P205" s="30">
        <f t="shared" si="3"/>
        <v>9.7836889180216949E-2</v>
      </c>
      <c r="Q205" s="31"/>
      <c r="R205" s="31"/>
    </row>
    <row r="206" spans="1:18" s="58" customFormat="1" ht="15.75" hidden="1" customHeight="1">
      <c r="A206" s="12" t="s">
        <v>236</v>
      </c>
      <c r="B206" s="12" t="s">
        <v>23</v>
      </c>
      <c r="C206" s="98">
        <v>45763</v>
      </c>
      <c r="D206" s="12" t="s">
        <v>15</v>
      </c>
      <c r="E206" s="12" t="s">
        <v>353</v>
      </c>
      <c r="F206" s="13">
        <v>3792</v>
      </c>
      <c r="G206" s="13">
        <v>315</v>
      </c>
      <c r="H206" s="13">
        <v>120</v>
      </c>
      <c r="I206" s="13">
        <v>54592</v>
      </c>
      <c r="J206" s="13">
        <v>67886</v>
      </c>
      <c r="K206" s="13">
        <v>117</v>
      </c>
      <c r="L206" s="12" t="s">
        <v>38</v>
      </c>
      <c r="M206" s="12" t="s">
        <v>38</v>
      </c>
      <c r="N206" s="12"/>
      <c r="O206" s="69" t="s">
        <v>21</v>
      </c>
      <c r="P206" s="53">
        <f t="shared" si="3"/>
        <v>7.7428927315357568E-2</v>
      </c>
      <c r="Q206" s="31"/>
      <c r="R206" s="31"/>
    </row>
    <row r="207" spans="1:18" s="58" customFormat="1" ht="15.75" customHeight="1">
      <c r="A207" s="12" t="s">
        <v>237</v>
      </c>
      <c r="B207" s="12" t="s">
        <v>23</v>
      </c>
      <c r="C207" s="98">
        <v>45525</v>
      </c>
      <c r="D207" s="187" t="s">
        <v>24</v>
      </c>
      <c r="E207" s="187" t="s">
        <v>19</v>
      </c>
      <c r="F207" s="13">
        <v>3989</v>
      </c>
      <c r="G207" s="13">
        <v>476</v>
      </c>
      <c r="H207" s="13">
        <v>128</v>
      </c>
      <c r="I207" s="13">
        <v>57569</v>
      </c>
      <c r="J207" s="13">
        <v>40193</v>
      </c>
      <c r="K207" s="13">
        <v>222</v>
      </c>
      <c r="L207" s="12" t="s">
        <v>373</v>
      </c>
      <c r="M207" s="12" t="s">
        <v>20</v>
      </c>
      <c r="N207" s="12" t="s">
        <v>351</v>
      </c>
      <c r="O207" s="190" t="s">
        <v>17</v>
      </c>
      <c r="P207" s="30">
        <f t="shared" si="3"/>
        <v>7.9782521843353188E-2</v>
      </c>
      <c r="Q207" s="31"/>
      <c r="R207" s="31"/>
    </row>
    <row r="208" spans="1:18" s="58" customFormat="1" ht="15.75" customHeight="1">
      <c r="A208" s="12" t="s">
        <v>238</v>
      </c>
      <c r="B208" s="12" t="s">
        <v>23</v>
      </c>
      <c r="C208" s="98">
        <v>45387</v>
      </c>
      <c r="D208" s="187" t="s">
        <v>24</v>
      </c>
      <c r="E208" s="187" t="s">
        <v>353</v>
      </c>
      <c r="F208" s="13">
        <v>2857</v>
      </c>
      <c r="G208" s="13">
        <v>443</v>
      </c>
      <c r="H208" s="13">
        <v>359</v>
      </c>
      <c r="I208" s="13">
        <v>51519</v>
      </c>
      <c r="J208" s="13">
        <v>28256</v>
      </c>
      <c r="K208" s="13">
        <v>155</v>
      </c>
      <c r="L208" s="12" t="s">
        <v>370</v>
      </c>
      <c r="M208" s="12" t="s">
        <v>38</v>
      </c>
      <c r="N208" s="12" t="s">
        <v>35</v>
      </c>
      <c r="O208" s="190" t="s">
        <v>17</v>
      </c>
      <c r="P208" s="30">
        <f t="shared" si="3"/>
        <v>7.1022341272152026E-2</v>
      </c>
      <c r="Q208" s="31"/>
      <c r="R208" s="31"/>
    </row>
    <row r="209" spans="1:18" s="58" customFormat="1" ht="15.75" hidden="1" customHeight="1">
      <c r="A209" s="12" t="s">
        <v>239</v>
      </c>
      <c r="B209" s="12" t="s">
        <v>23</v>
      </c>
      <c r="C209" s="98">
        <v>45754</v>
      </c>
      <c r="D209" s="12" t="s">
        <v>15</v>
      </c>
      <c r="E209" s="12" t="s">
        <v>355</v>
      </c>
      <c r="F209" s="13">
        <v>1403</v>
      </c>
      <c r="G209" s="13">
        <v>385</v>
      </c>
      <c r="H209" s="13">
        <v>344</v>
      </c>
      <c r="I209" s="13">
        <v>54223</v>
      </c>
      <c r="J209" s="13">
        <v>72595</v>
      </c>
      <c r="K209" s="13">
        <v>239</v>
      </c>
      <c r="L209" s="12" t="s">
        <v>38</v>
      </c>
      <c r="M209" s="12" t="s">
        <v>38</v>
      </c>
      <c r="N209" s="12"/>
      <c r="O209" s="69" t="s">
        <v>21</v>
      </c>
      <c r="P209" s="53">
        <f t="shared" si="3"/>
        <v>3.9319108127547353E-2</v>
      </c>
      <c r="Q209" s="31"/>
      <c r="R209" s="31"/>
    </row>
    <row r="210" spans="1:18" s="58" customFormat="1" ht="15.75" customHeight="1">
      <c r="A210" s="12" t="s">
        <v>240</v>
      </c>
      <c r="B210" s="12" t="s">
        <v>23</v>
      </c>
      <c r="C210" s="98">
        <v>45492</v>
      </c>
      <c r="D210" s="187" t="s">
        <v>24</v>
      </c>
      <c r="E210" s="187" t="s">
        <v>354</v>
      </c>
      <c r="F210" s="13">
        <v>3071</v>
      </c>
      <c r="G210" s="13">
        <v>126</v>
      </c>
      <c r="H210" s="13">
        <v>200</v>
      </c>
      <c r="I210" s="13">
        <v>44013</v>
      </c>
      <c r="J210" s="13">
        <v>44679</v>
      </c>
      <c r="K210" s="13">
        <v>118</v>
      </c>
      <c r="L210" s="12" t="s">
        <v>373</v>
      </c>
      <c r="M210" s="12" t="s">
        <v>20</v>
      </c>
      <c r="N210" s="12" t="s">
        <v>351</v>
      </c>
      <c r="O210" s="190" t="s">
        <v>17</v>
      </c>
      <c r="P210" s="30">
        <f t="shared" si="3"/>
        <v>7.7181741758116915E-2</v>
      </c>
      <c r="Q210" s="31"/>
      <c r="R210" s="31"/>
    </row>
    <row r="211" spans="1:18" s="58" customFormat="1" ht="15.75" customHeight="1">
      <c r="A211" s="12" t="s">
        <v>241</v>
      </c>
      <c r="B211" s="12" t="s">
        <v>23</v>
      </c>
      <c r="C211" s="98">
        <v>45780</v>
      </c>
      <c r="D211" s="187" t="s">
        <v>24</v>
      </c>
      <c r="E211" s="187" t="s">
        <v>34</v>
      </c>
      <c r="F211" s="13">
        <v>1010</v>
      </c>
      <c r="G211" s="13">
        <v>361</v>
      </c>
      <c r="H211" s="13">
        <v>240</v>
      </c>
      <c r="I211" s="13">
        <v>47229</v>
      </c>
      <c r="J211" s="13">
        <v>72573</v>
      </c>
      <c r="K211" s="13">
        <v>275</v>
      </c>
      <c r="L211" s="12" t="s">
        <v>370</v>
      </c>
      <c r="M211" s="12" t="s">
        <v>38</v>
      </c>
      <c r="N211" s="12" t="s">
        <v>35</v>
      </c>
      <c r="O211" s="190" t="s">
        <v>17</v>
      </c>
      <c r="P211" s="30">
        <f t="shared" si="3"/>
        <v>3.4110398272247981E-2</v>
      </c>
      <c r="Q211" s="31"/>
      <c r="R211" s="31"/>
    </row>
    <row r="212" spans="1:18" s="58" customFormat="1" ht="15.75" customHeight="1">
      <c r="A212" s="12" t="s">
        <v>242</v>
      </c>
      <c r="B212" s="12" t="s">
        <v>23</v>
      </c>
      <c r="C212" s="98">
        <v>45396</v>
      </c>
      <c r="D212" s="187" t="s">
        <v>24</v>
      </c>
      <c r="E212" s="187" t="s">
        <v>16</v>
      </c>
      <c r="F212" s="13">
        <v>1295</v>
      </c>
      <c r="G212" s="13">
        <v>153</v>
      </c>
      <c r="H212" s="13">
        <v>81</v>
      </c>
      <c r="I212" s="13">
        <v>48350</v>
      </c>
      <c r="J212" s="13">
        <v>61033</v>
      </c>
      <c r="K212" s="13">
        <v>232</v>
      </c>
      <c r="L212" s="12" t="s">
        <v>373</v>
      </c>
      <c r="M212" s="12" t="s">
        <v>20</v>
      </c>
      <c r="N212" s="12" t="s">
        <v>351</v>
      </c>
      <c r="O212" s="190" t="s">
        <v>17</v>
      </c>
      <c r="P212" s="30">
        <f t="shared" si="3"/>
        <v>3.1623578076525334E-2</v>
      </c>
      <c r="Q212" s="31"/>
      <c r="R212" s="31"/>
    </row>
    <row r="213" spans="1:18" s="58" customFormat="1" ht="15.75" customHeight="1">
      <c r="A213" s="12" t="s">
        <v>243</v>
      </c>
      <c r="B213" s="12" t="s">
        <v>23</v>
      </c>
      <c r="C213" s="98">
        <v>45827</v>
      </c>
      <c r="D213" s="187" t="s">
        <v>24</v>
      </c>
      <c r="E213" s="187" t="s">
        <v>354</v>
      </c>
      <c r="F213" s="13">
        <v>1433</v>
      </c>
      <c r="G213" s="13">
        <v>452</v>
      </c>
      <c r="H213" s="13">
        <v>305</v>
      </c>
      <c r="I213" s="13">
        <v>54541</v>
      </c>
      <c r="J213" s="13">
        <v>63700</v>
      </c>
      <c r="K213" s="13">
        <v>296</v>
      </c>
      <c r="L213" s="12" t="s">
        <v>373</v>
      </c>
      <c r="M213" s="12" t="s">
        <v>20</v>
      </c>
      <c r="N213" s="12" t="s">
        <v>351</v>
      </c>
      <c r="O213" s="190" t="s">
        <v>17</v>
      </c>
      <c r="P213" s="30">
        <f t="shared" si="3"/>
        <v>4.0153279184466734E-2</v>
      </c>
      <c r="Q213" s="31"/>
      <c r="R213" s="31"/>
    </row>
    <row r="214" spans="1:18" s="58" customFormat="1" ht="15.75" hidden="1" customHeight="1">
      <c r="A214" s="12" t="s">
        <v>244</v>
      </c>
      <c r="B214" s="12" t="s">
        <v>14</v>
      </c>
      <c r="C214" s="98">
        <v>45832</v>
      </c>
      <c r="D214" s="12" t="s">
        <v>24</v>
      </c>
      <c r="E214" s="12" t="s">
        <v>31</v>
      </c>
      <c r="F214" s="13">
        <v>4902</v>
      </c>
      <c r="G214" s="13">
        <v>422</v>
      </c>
      <c r="H214" s="13">
        <v>376</v>
      </c>
      <c r="I214" s="13">
        <v>31674</v>
      </c>
      <c r="J214" s="13">
        <v>53225</v>
      </c>
      <c r="K214" s="13">
        <v>147</v>
      </c>
      <c r="L214" s="12" t="s">
        <v>35</v>
      </c>
      <c r="M214" s="12" t="s">
        <v>35</v>
      </c>
      <c r="N214" s="12"/>
      <c r="O214" s="69" t="s">
        <v>47</v>
      </c>
      <c r="P214" s="53">
        <f t="shared" si="3"/>
        <v>0.17995832544042431</v>
      </c>
      <c r="Q214" s="31"/>
      <c r="R214" s="31"/>
    </row>
    <row r="215" spans="1:18" s="58" customFormat="1" ht="15.75" hidden="1" customHeight="1">
      <c r="A215" s="12" t="s">
        <v>245</v>
      </c>
      <c r="B215" s="12" t="s">
        <v>23</v>
      </c>
      <c r="C215" s="98">
        <v>45574</v>
      </c>
      <c r="D215" s="12" t="s">
        <v>15</v>
      </c>
      <c r="E215" s="12" t="s">
        <v>353</v>
      </c>
      <c r="F215" s="13">
        <v>2659</v>
      </c>
      <c r="G215" s="13">
        <v>167</v>
      </c>
      <c r="H215" s="13">
        <v>73</v>
      </c>
      <c r="I215" s="13">
        <v>23090</v>
      </c>
      <c r="J215" s="13">
        <v>25872</v>
      </c>
      <c r="K215" s="13">
        <v>293</v>
      </c>
      <c r="L215" s="12" t="s">
        <v>38</v>
      </c>
      <c r="M215" s="12" t="s">
        <v>38</v>
      </c>
      <c r="N215" s="12"/>
      <c r="O215" s="69" t="s">
        <v>21</v>
      </c>
      <c r="P215" s="53">
        <f t="shared" si="3"/>
        <v>0.12555218709398008</v>
      </c>
      <c r="Q215" s="31"/>
      <c r="R215" s="31"/>
    </row>
    <row r="216" spans="1:18" s="58" customFormat="1" ht="15.75" hidden="1" customHeight="1">
      <c r="A216" s="12" t="s">
        <v>246</v>
      </c>
      <c r="B216" s="12" t="s">
        <v>28</v>
      </c>
      <c r="C216" s="98">
        <v>45672</v>
      </c>
      <c r="D216" s="12" t="s">
        <v>15</v>
      </c>
      <c r="E216" s="12" t="s">
        <v>43</v>
      </c>
      <c r="F216" s="13">
        <v>2599</v>
      </c>
      <c r="G216" s="13">
        <v>324</v>
      </c>
      <c r="H216" s="13">
        <v>182</v>
      </c>
      <c r="I216" s="13">
        <v>37525</v>
      </c>
      <c r="J216" s="13">
        <v>37216</v>
      </c>
      <c r="K216" s="13">
        <v>186</v>
      </c>
      <c r="L216" s="12" t="s">
        <v>372</v>
      </c>
      <c r="M216" s="12" t="s">
        <v>20</v>
      </c>
      <c r="N216" s="12" t="s">
        <v>352</v>
      </c>
      <c r="O216" s="69" t="s">
        <v>21</v>
      </c>
      <c r="P216" s="53">
        <f t="shared" si="3"/>
        <v>8.2744836775483013E-2</v>
      </c>
      <c r="Q216" s="31"/>
      <c r="R216" s="31"/>
    </row>
    <row r="217" spans="1:18" s="58" customFormat="1" ht="15.75" hidden="1" customHeight="1">
      <c r="A217" s="12" t="s">
        <v>247</v>
      </c>
      <c r="B217" s="12" t="s">
        <v>23</v>
      </c>
      <c r="C217" s="98">
        <v>45669</v>
      </c>
      <c r="D217" s="12" t="s">
        <v>15</v>
      </c>
      <c r="E217" s="12" t="s">
        <v>356</v>
      </c>
      <c r="F217" s="13">
        <v>1765</v>
      </c>
      <c r="G217" s="13">
        <v>285</v>
      </c>
      <c r="H217" s="13">
        <v>100</v>
      </c>
      <c r="I217" s="13">
        <v>41313</v>
      </c>
      <c r="J217" s="13">
        <v>56575</v>
      </c>
      <c r="K217" s="13">
        <v>174</v>
      </c>
      <c r="L217" s="12" t="s">
        <v>38</v>
      </c>
      <c r="M217" s="12" t="s">
        <v>38</v>
      </c>
      <c r="N217" s="12"/>
      <c r="O217" s="69" t="s">
        <v>21</v>
      </c>
      <c r="P217" s="53">
        <f t="shared" si="3"/>
        <v>5.2041730205988429E-2</v>
      </c>
      <c r="Q217" s="31"/>
      <c r="R217" s="31"/>
    </row>
    <row r="218" spans="1:18" s="58" customFormat="1" ht="15.75" customHeight="1">
      <c r="A218" s="12" t="s">
        <v>248</v>
      </c>
      <c r="B218" s="12" t="s">
        <v>14</v>
      </c>
      <c r="C218" s="98">
        <v>45808</v>
      </c>
      <c r="D218" s="187" t="s">
        <v>15</v>
      </c>
      <c r="E218" s="187" t="s">
        <v>354</v>
      </c>
      <c r="F218" s="13">
        <v>2169</v>
      </c>
      <c r="G218" s="13">
        <v>240</v>
      </c>
      <c r="H218" s="13">
        <v>57</v>
      </c>
      <c r="I218" s="13">
        <v>26109</v>
      </c>
      <c r="J218" s="13">
        <v>46667</v>
      </c>
      <c r="K218" s="13">
        <v>133</v>
      </c>
      <c r="L218" s="12" t="s">
        <v>370</v>
      </c>
      <c r="M218" s="12" t="s">
        <v>38</v>
      </c>
      <c r="N218" s="12" t="s">
        <v>35</v>
      </c>
      <c r="O218" s="190" t="s">
        <v>17</v>
      </c>
      <c r="P218" s="30">
        <f t="shared" si="3"/>
        <v>9.4450189589796618E-2</v>
      </c>
      <c r="Q218" s="31"/>
      <c r="R218" s="31"/>
    </row>
    <row r="219" spans="1:18" s="58" customFormat="1" ht="15.75" customHeight="1">
      <c r="A219" s="12" t="s">
        <v>249</v>
      </c>
      <c r="B219" s="12" t="s">
        <v>23</v>
      </c>
      <c r="C219" s="98">
        <v>45579</v>
      </c>
      <c r="D219" s="187" t="s">
        <v>24</v>
      </c>
      <c r="E219" s="187" t="s">
        <v>19</v>
      </c>
      <c r="F219" s="13">
        <v>4303</v>
      </c>
      <c r="G219" s="13">
        <v>306</v>
      </c>
      <c r="H219" s="13">
        <v>302</v>
      </c>
      <c r="I219" s="13">
        <v>39575</v>
      </c>
      <c r="J219" s="13">
        <v>33762</v>
      </c>
      <c r="K219" s="13">
        <v>265</v>
      </c>
      <c r="L219" s="12" t="s">
        <v>373</v>
      </c>
      <c r="M219" s="12" t="s">
        <v>20</v>
      </c>
      <c r="N219" s="12" t="s">
        <v>351</v>
      </c>
      <c r="O219" s="190" t="s">
        <v>17</v>
      </c>
      <c r="P219" s="30">
        <f t="shared" si="3"/>
        <v>0.12409349336702463</v>
      </c>
      <c r="Q219" s="31"/>
      <c r="R219" s="31"/>
    </row>
    <row r="220" spans="1:18" s="58" customFormat="1" ht="15.75" hidden="1" customHeight="1">
      <c r="A220" s="12" t="s">
        <v>250</v>
      </c>
      <c r="B220" s="12" t="s">
        <v>23</v>
      </c>
      <c r="C220" s="98">
        <v>45332</v>
      </c>
      <c r="D220" s="12" t="s">
        <v>15</v>
      </c>
      <c r="E220" s="12" t="s">
        <v>355</v>
      </c>
      <c r="F220" s="13">
        <v>1519</v>
      </c>
      <c r="G220" s="13">
        <v>456</v>
      </c>
      <c r="H220" s="13">
        <v>379</v>
      </c>
      <c r="I220" s="13">
        <v>51611</v>
      </c>
      <c r="J220" s="13">
        <v>45880</v>
      </c>
      <c r="K220" s="13">
        <v>176</v>
      </c>
      <c r="L220" s="12" t="s">
        <v>38</v>
      </c>
      <c r="M220" s="12" t="s">
        <v>38</v>
      </c>
      <c r="N220" s="12"/>
      <c r="O220" s="69" t="s">
        <v>21</v>
      </c>
      <c r="P220" s="53">
        <f t="shared" si="3"/>
        <v>4.5610431884675749E-2</v>
      </c>
      <c r="Q220" s="31"/>
      <c r="R220" s="31"/>
    </row>
    <row r="221" spans="1:18" s="58" customFormat="1" ht="15.75" hidden="1" customHeight="1">
      <c r="A221" s="12" t="s">
        <v>251</v>
      </c>
      <c r="B221" s="12" t="s">
        <v>28</v>
      </c>
      <c r="C221" s="98">
        <v>45636</v>
      </c>
      <c r="D221" s="12" t="s">
        <v>15</v>
      </c>
      <c r="E221" s="12" t="s">
        <v>354</v>
      </c>
      <c r="F221" s="13">
        <v>2569</v>
      </c>
      <c r="G221" s="13">
        <v>140</v>
      </c>
      <c r="H221" s="13">
        <v>375</v>
      </c>
      <c r="I221" s="13">
        <v>38372</v>
      </c>
      <c r="J221" s="13">
        <v>22102</v>
      </c>
      <c r="K221" s="13">
        <v>255</v>
      </c>
      <c r="L221" s="12" t="s">
        <v>372</v>
      </c>
      <c r="M221" s="12" t="s">
        <v>20</v>
      </c>
      <c r="N221" s="12" t="s">
        <v>352</v>
      </c>
      <c r="O221" s="69" t="s">
        <v>21</v>
      </c>
      <c r="P221" s="53">
        <f t="shared" si="3"/>
        <v>8.0371103929948923E-2</v>
      </c>
      <c r="Q221" s="31"/>
      <c r="R221" s="31"/>
    </row>
    <row r="222" spans="1:18" s="58" customFormat="1" ht="15.75" customHeight="1">
      <c r="A222" s="12" t="s">
        <v>252</v>
      </c>
      <c r="B222" s="12" t="s">
        <v>23</v>
      </c>
      <c r="C222" s="98">
        <v>45786</v>
      </c>
      <c r="D222" s="187" t="s">
        <v>24</v>
      </c>
      <c r="E222" s="187" t="s">
        <v>356</v>
      </c>
      <c r="F222" s="13">
        <v>2778</v>
      </c>
      <c r="G222" s="13">
        <v>241</v>
      </c>
      <c r="H222" s="13">
        <v>317</v>
      </c>
      <c r="I222" s="13">
        <v>26247</v>
      </c>
      <c r="J222" s="13">
        <v>20677</v>
      </c>
      <c r="K222" s="13">
        <v>282</v>
      </c>
      <c r="L222" s="12" t="s">
        <v>371</v>
      </c>
      <c r="M222" s="12" t="s">
        <v>351</v>
      </c>
      <c r="N222" s="12" t="s">
        <v>35</v>
      </c>
      <c r="O222" s="190" t="s">
        <v>17</v>
      </c>
      <c r="P222" s="30">
        <f t="shared" si="3"/>
        <v>0.1271002400274317</v>
      </c>
      <c r="Q222" s="31"/>
      <c r="R222" s="31"/>
    </row>
    <row r="223" spans="1:18" s="58" customFormat="1" ht="15.75" customHeight="1">
      <c r="A223" s="12" t="s">
        <v>253</v>
      </c>
      <c r="B223" s="12" t="s">
        <v>23</v>
      </c>
      <c r="C223" s="98">
        <v>45829</v>
      </c>
      <c r="D223" s="187" t="s">
        <v>15</v>
      </c>
      <c r="E223" s="187" t="s">
        <v>19</v>
      </c>
      <c r="F223" s="13">
        <v>3611</v>
      </c>
      <c r="G223" s="13">
        <v>127</v>
      </c>
      <c r="H223" s="13">
        <v>139</v>
      </c>
      <c r="I223" s="13">
        <v>44768</v>
      </c>
      <c r="J223" s="13">
        <v>29435</v>
      </c>
      <c r="K223" s="13">
        <v>178</v>
      </c>
      <c r="L223" s="12" t="s">
        <v>35</v>
      </c>
      <c r="M223" s="12" t="s">
        <v>35</v>
      </c>
      <c r="N223" s="12"/>
      <c r="O223" s="190" t="s">
        <v>17</v>
      </c>
      <c r="P223" s="30">
        <f t="shared" si="3"/>
        <v>8.6602037169406718E-2</v>
      </c>
      <c r="Q223" s="31"/>
      <c r="R223" s="31"/>
    </row>
    <row r="224" spans="1:18" s="58" customFormat="1" ht="15.75" hidden="1" customHeight="1">
      <c r="A224" s="12" t="s">
        <v>254</v>
      </c>
      <c r="B224" s="12" t="s">
        <v>23</v>
      </c>
      <c r="C224" s="98">
        <v>45462</v>
      </c>
      <c r="D224" s="12" t="s">
        <v>15</v>
      </c>
      <c r="E224" s="12" t="s">
        <v>354</v>
      </c>
      <c r="F224" s="13">
        <v>1224</v>
      </c>
      <c r="G224" s="13">
        <v>168</v>
      </c>
      <c r="H224" s="13">
        <v>199</v>
      </c>
      <c r="I224" s="13">
        <v>54232</v>
      </c>
      <c r="J224" s="13">
        <v>52844</v>
      </c>
      <c r="K224" s="13">
        <v>271</v>
      </c>
      <c r="L224" s="12" t="s">
        <v>38</v>
      </c>
      <c r="M224" s="12" t="s">
        <v>38</v>
      </c>
      <c r="N224" s="12"/>
      <c r="O224" s="69" t="s">
        <v>21</v>
      </c>
      <c r="P224" s="53">
        <f t="shared" si="3"/>
        <v>2.9336922849977874E-2</v>
      </c>
      <c r="Q224" s="31"/>
      <c r="R224" s="31"/>
    </row>
    <row r="225" spans="1:18" s="58" customFormat="1" ht="15.75" customHeight="1">
      <c r="A225" s="12" t="s">
        <v>255</v>
      </c>
      <c r="B225" s="12" t="s">
        <v>23</v>
      </c>
      <c r="C225" s="98">
        <v>45636</v>
      </c>
      <c r="D225" s="187" t="s">
        <v>15</v>
      </c>
      <c r="E225" s="187" t="s">
        <v>355</v>
      </c>
      <c r="F225" s="13">
        <v>4673</v>
      </c>
      <c r="G225" s="13">
        <v>270</v>
      </c>
      <c r="H225" s="13">
        <v>93</v>
      </c>
      <c r="I225" s="13">
        <v>45260</v>
      </c>
      <c r="J225" s="13">
        <v>57513</v>
      </c>
      <c r="K225" s="13">
        <v>103</v>
      </c>
      <c r="L225" s="12" t="s">
        <v>35</v>
      </c>
      <c r="M225" s="12" t="s">
        <v>35</v>
      </c>
      <c r="N225" s="12"/>
      <c r="O225" s="190" t="s">
        <v>17</v>
      </c>
      <c r="P225" s="30">
        <f t="shared" si="3"/>
        <v>0.11126822801590809</v>
      </c>
      <c r="Q225" s="31"/>
      <c r="R225" s="31"/>
    </row>
    <row r="226" spans="1:18" s="58" customFormat="1" ht="15.75" hidden="1" customHeight="1">
      <c r="A226" s="12" t="s">
        <v>256</v>
      </c>
      <c r="B226" s="12" t="s">
        <v>28</v>
      </c>
      <c r="C226" s="98">
        <v>45323</v>
      </c>
      <c r="D226" s="12" t="s">
        <v>15</v>
      </c>
      <c r="E226" s="12" t="s">
        <v>353</v>
      </c>
      <c r="F226" s="13">
        <v>1432</v>
      </c>
      <c r="G226" s="13">
        <v>437</v>
      </c>
      <c r="H226" s="13">
        <v>267</v>
      </c>
      <c r="I226" s="13">
        <v>40634</v>
      </c>
      <c r="J226" s="13">
        <v>54511</v>
      </c>
      <c r="K226" s="13">
        <v>197</v>
      </c>
      <c r="L226" s="12" t="s">
        <v>372</v>
      </c>
      <c r="M226" s="12" t="s">
        <v>20</v>
      </c>
      <c r="N226" s="12" t="s">
        <v>352</v>
      </c>
      <c r="O226" s="69" t="s">
        <v>21</v>
      </c>
      <c r="P226" s="53">
        <f t="shared" si="3"/>
        <v>5.2566815966924252E-2</v>
      </c>
      <c r="Q226" s="31"/>
      <c r="R226" s="31"/>
    </row>
    <row r="227" spans="1:18" s="58" customFormat="1" ht="15.75" customHeight="1">
      <c r="A227" s="12" t="s">
        <v>257</v>
      </c>
      <c r="B227" s="12" t="s">
        <v>23</v>
      </c>
      <c r="C227" s="98">
        <v>45308</v>
      </c>
      <c r="D227" s="187" t="s">
        <v>24</v>
      </c>
      <c r="E227" s="187" t="s">
        <v>25</v>
      </c>
      <c r="F227" s="13">
        <v>2174</v>
      </c>
      <c r="G227" s="13">
        <v>499</v>
      </c>
      <c r="H227" s="13">
        <v>212</v>
      </c>
      <c r="I227" s="13">
        <v>54938</v>
      </c>
      <c r="J227" s="13">
        <v>27190</v>
      </c>
      <c r="K227" s="13">
        <v>265</v>
      </c>
      <c r="L227" s="12" t="s">
        <v>371</v>
      </c>
      <c r="M227" s="12" t="s">
        <v>351</v>
      </c>
      <c r="N227" s="12" t="s">
        <v>35</v>
      </c>
      <c r="O227" s="190" t="s">
        <v>17</v>
      </c>
      <c r="P227" s="30">
        <f t="shared" si="3"/>
        <v>5.2513742764570971E-2</v>
      </c>
      <c r="Q227" s="31"/>
      <c r="R227" s="31"/>
    </row>
    <row r="228" spans="1:18" s="58" customFormat="1" ht="15.75" hidden="1" customHeight="1">
      <c r="A228" s="12" t="s">
        <v>258</v>
      </c>
      <c r="B228" s="12" t="s">
        <v>28</v>
      </c>
      <c r="C228" s="98">
        <v>45738</v>
      </c>
      <c r="D228" s="12" t="s">
        <v>15</v>
      </c>
      <c r="E228" s="12" t="s">
        <v>356</v>
      </c>
      <c r="F228" s="13">
        <v>4308</v>
      </c>
      <c r="G228" s="13">
        <v>171</v>
      </c>
      <c r="H228" s="13">
        <v>106</v>
      </c>
      <c r="I228" s="13">
        <v>36955</v>
      </c>
      <c r="J228" s="13">
        <v>23949</v>
      </c>
      <c r="K228" s="13">
        <v>294</v>
      </c>
      <c r="L228" s="12" t="s">
        <v>372</v>
      </c>
      <c r="M228" s="12" t="s">
        <v>20</v>
      </c>
      <c r="N228" s="12" t="s">
        <v>352</v>
      </c>
      <c r="O228" s="69" t="s">
        <v>21</v>
      </c>
      <c r="P228" s="53">
        <f t="shared" si="3"/>
        <v>0.12406981463942633</v>
      </c>
      <c r="Q228" s="31"/>
      <c r="R228" s="31"/>
    </row>
    <row r="229" spans="1:18" s="58" customFormat="1" ht="15.75" hidden="1" customHeight="1">
      <c r="A229" s="12" t="s">
        <v>259</v>
      </c>
      <c r="B229" s="12" t="s">
        <v>28</v>
      </c>
      <c r="C229" s="98">
        <v>45442</v>
      </c>
      <c r="D229" s="12" t="s">
        <v>49</v>
      </c>
      <c r="E229" s="12" t="s">
        <v>354</v>
      </c>
      <c r="F229" s="13">
        <v>1060</v>
      </c>
      <c r="G229" s="13">
        <v>442</v>
      </c>
      <c r="H229" s="13">
        <v>319</v>
      </c>
      <c r="I229" s="13">
        <v>57194</v>
      </c>
      <c r="J229" s="13">
        <v>24258</v>
      </c>
      <c r="K229" s="13">
        <v>101</v>
      </c>
      <c r="L229" s="12" t="s">
        <v>374</v>
      </c>
      <c r="M229" s="12" t="s">
        <v>20</v>
      </c>
      <c r="N229" s="12" t="s">
        <v>38</v>
      </c>
      <c r="O229" s="69" t="s">
        <v>50</v>
      </c>
      <c r="P229" s="53">
        <f t="shared" si="3"/>
        <v>3.1839004091338254E-2</v>
      </c>
      <c r="Q229" s="31"/>
      <c r="R229" s="31"/>
    </row>
    <row r="230" spans="1:18" s="58" customFormat="1" ht="15.75" hidden="1" customHeight="1">
      <c r="A230" s="12" t="s">
        <v>260</v>
      </c>
      <c r="B230" s="12" t="s">
        <v>28</v>
      </c>
      <c r="C230" s="98">
        <v>45346</v>
      </c>
      <c r="D230" s="12" t="s">
        <v>15</v>
      </c>
      <c r="E230" s="12" t="s">
        <v>356</v>
      </c>
      <c r="F230" s="13">
        <v>4653</v>
      </c>
      <c r="G230" s="13">
        <v>226</v>
      </c>
      <c r="H230" s="13">
        <v>349</v>
      </c>
      <c r="I230" s="13">
        <v>56876</v>
      </c>
      <c r="J230" s="13">
        <v>28452</v>
      </c>
      <c r="K230" s="13">
        <v>257</v>
      </c>
      <c r="L230" s="12" t="s">
        <v>372</v>
      </c>
      <c r="M230" s="12" t="s">
        <v>20</v>
      </c>
      <c r="N230" s="12" t="s">
        <v>352</v>
      </c>
      <c r="O230" s="69" t="s">
        <v>21</v>
      </c>
      <c r="P230" s="53">
        <f t="shared" si="3"/>
        <v>9.191926295801392E-2</v>
      </c>
      <c r="Q230" s="31"/>
      <c r="R230" s="31"/>
    </row>
    <row r="231" spans="1:18" s="58" customFormat="1" ht="15.75" hidden="1" customHeight="1">
      <c r="A231" s="12" t="s">
        <v>261</v>
      </c>
      <c r="B231" s="12" t="s">
        <v>28</v>
      </c>
      <c r="C231" s="98">
        <v>45791</v>
      </c>
      <c r="D231" s="12" t="s">
        <v>15</v>
      </c>
      <c r="E231" s="12" t="s">
        <v>16</v>
      </c>
      <c r="F231" s="13">
        <v>1701</v>
      </c>
      <c r="G231" s="13">
        <v>272</v>
      </c>
      <c r="H231" s="13">
        <v>385</v>
      </c>
      <c r="I231" s="13">
        <v>47496</v>
      </c>
      <c r="J231" s="13">
        <v>40832</v>
      </c>
      <c r="K231" s="13">
        <v>246</v>
      </c>
      <c r="L231" s="12" t="s">
        <v>372</v>
      </c>
      <c r="M231" s="12" t="s">
        <v>20</v>
      </c>
      <c r="N231" s="12" t="s">
        <v>352</v>
      </c>
      <c r="O231" s="69" t="s">
        <v>21</v>
      </c>
      <c r="P231" s="53">
        <f t="shared" si="3"/>
        <v>4.9646286003031836E-2</v>
      </c>
      <c r="Q231" s="31"/>
      <c r="R231" s="31"/>
    </row>
    <row r="232" spans="1:18" s="58" customFormat="1" ht="15.75" customHeight="1">
      <c r="A232" s="12" t="s">
        <v>262</v>
      </c>
      <c r="B232" s="12" t="s">
        <v>14</v>
      </c>
      <c r="C232" s="98">
        <v>45379</v>
      </c>
      <c r="D232" s="187" t="s">
        <v>15</v>
      </c>
      <c r="E232" s="187" t="s">
        <v>354</v>
      </c>
      <c r="F232" s="13">
        <v>1673</v>
      </c>
      <c r="G232" s="13">
        <v>280</v>
      </c>
      <c r="H232" s="13">
        <v>67</v>
      </c>
      <c r="I232" s="13">
        <v>29847</v>
      </c>
      <c r="J232" s="13">
        <v>48016</v>
      </c>
      <c r="K232" s="13">
        <v>213</v>
      </c>
      <c r="L232" s="12" t="s">
        <v>370</v>
      </c>
      <c r="M232" s="12" t="s">
        <v>38</v>
      </c>
      <c r="N232" s="12" t="s">
        <v>35</v>
      </c>
      <c r="O232" s="190" t="s">
        <v>17</v>
      </c>
      <c r="P232" s="30">
        <f t="shared" si="3"/>
        <v>6.76784936509532E-2</v>
      </c>
      <c r="Q232" s="31"/>
      <c r="R232" s="31"/>
    </row>
    <row r="233" spans="1:18" s="58" customFormat="1" ht="15.75" hidden="1" customHeight="1">
      <c r="A233" s="12" t="s">
        <v>263</v>
      </c>
      <c r="B233" s="12" t="s">
        <v>28</v>
      </c>
      <c r="C233" s="98">
        <v>45723</v>
      </c>
      <c r="D233" s="12" t="s">
        <v>15</v>
      </c>
      <c r="E233" s="12" t="s">
        <v>34</v>
      </c>
      <c r="F233" s="13">
        <v>4310</v>
      </c>
      <c r="G233" s="13">
        <v>284</v>
      </c>
      <c r="H233" s="13">
        <v>306</v>
      </c>
      <c r="I233" s="13">
        <v>44606</v>
      </c>
      <c r="J233" s="13">
        <v>42604</v>
      </c>
      <c r="K233" s="13">
        <v>290</v>
      </c>
      <c r="L233" s="12" t="s">
        <v>372</v>
      </c>
      <c r="M233" s="12" t="s">
        <v>20</v>
      </c>
      <c r="N233" s="12" t="s">
        <v>352</v>
      </c>
      <c r="O233" s="69" t="s">
        <v>21</v>
      </c>
      <c r="P233" s="53">
        <f t="shared" si="3"/>
        <v>0.10985069273191947</v>
      </c>
      <c r="Q233" s="31"/>
      <c r="R233" s="31"/>
    </row>
    <row r="234" spans="1:18" s="58" customFormat="1" ht="15.75" customHeight="1">
      <c r="A234" s="12" t="s">
        <v>264</v>
      </c>
      <c r="B234" s="12" t="s">
        <v>23</v>
      </c>
      <c r="C234" s="98">
        <v>45585</v>
      </c>
      <c r="D234" s="187" t="s">
        <v>15</v>
      </c>
      <c r="E234" s="187" t="s">
        <v>355</v>
      </c>
      <c r="F234" s="13">
        <v>2752</v>
      </c>
      <c r="G234" s="13">
        <v>309</v>
      </c>
      <c r="H234" s="13">
        <v>91</v>
      </c>
      <c r="I234" s="13">
        <v>39038</v>
      </c>
      <c r="J234" s="13">
        <v>28095</v>
      </c>
      <c r="K234" s="13">
        <v>277</v>
      </c>
      <c r="L234" s="12" t="s">
        <v>35</v>
      </c>
      <c r="M234" s="12" t="s">
        <v>35</v>
      </c>
      <c r="N234" s="12"/>
      <c r="O234" s="190" t="s">
        <v>17</v>
      </c>
      <c r="P234" s="30">
        <f t="shared" si="3"/>
        <v>8.0741841282852611E-2</v>
      </c>
      <c r="Q234" s="31"/>
      <c r="R234" s="31"/>
    </row>
    <row r="235" spans="1:18" s="58" customFormat="1" ht="15.75" customHeight="1">
      <c r="A235" s="12" t="s">
        <v>265</v>
      </c>
      <c r="B235" s="12" t="s">
        <v>23</v>
      </c>
      <c r="C235" s="98">
        <v>45324</v>
      </c>
      <c r="D235" s="187" t="s">
        <v>15</v>
      </c>
      <c r="E235" s="187" t="s">
        <v>355</v>
      </c>
      <c r="F235" s="13">
        <v>3818</v>
      </c>
      <c r="G235" s="13">
        <v>115</v>
      </c>
      <c r="H235" s="13">
        <v>286</v>
      </c>
      <c r="I235" s="13">
        <v>25127</v>
      </c>
      <c r="J235" s="13">
        <v>22277</v>
      </c>
      <c r="K235" s="13">
        <v>263</v>
      </c>
      <c r="L235" s="12" t="s">
        <v>35</v>
      </c>
      <c r="M235" s="12" t="s">
        <v>35</v>
      </c>
      <c r="N235" s="12"/>
      <c r="O235" s="190" t="s">
        <v>17</v>
      </c>
      <c r="P235" s="30">
        <f t="shared" si="3"/>
        <v>0.16790703227603773</v>
      </c>
      <c r="Q235" s="31"/>
      <c r="R235" s="31"/>
    </row>
    <row r="236" spans="1:18" s="58" customFormat="1" ht="15.75" hidden="1" customHeight="1">
      <c r="A236" s="12" t="s">
        <v>266</v>
      </c>
      <c r="B236" s="12" t="s">
        <v>28</v>
      </c>
      <c r="C236" s="98">
        <v>45542</v>
      </c>
      <c r="D236" s="12" t="s">
        <v>15</v>
      </c>
      <c r="E236" s="12" t="s">
        <v>43</v>
      </c>
      <c r="F236" s="13">
        <v>2101</v>
      </c>
      <c r="G236" s="13">
        <v>411</v>
      </c>
      <c r="H236" s="13">
        <v>190</v>
      </c>
      <c r="I236" s="13">
        <v>41791</v>
      </c>
      <c r="J236" s="13">
        <v>57090</v>
      </c>
      <c r="K236" s="13">
        <v>172</v>
      </c>
      <c r="L236" s="12" t="s">
        <v>372</v>
      </c>
      <c r="M236" s="12" t="s">
        <v>20</v>
      </c>
      <c r="N236" s="12" t="s">
        <v>352</v>
      </c>
      <c r="O236" s="69" t="s">
        <v>21</v>
      </c>
      <c r="P236" s="53">
        <f t="shared" si="3"/>
        <v>6.4655069273288512E-2</v>
      </c>
      <c r="Q236" s="31"/>
      <c r="R236" s="31"/>
    </row>
    <row r="237" spans="1:18" s="58" customFormat="1" ht="15.75" hidden="1" customHeight="1">
      <c r="A237" s="12" t="s">
        <v>267</v>
      </c>
      <c r="B237" s="12" t="s">
        <v>14</v>
      </c>
      <c r="C237" s="98">
        <v>45646</v>
      </c>
      <c r="D237" s="12" t="s">
        <v>15</v>
      </c>
      <c r="E237" s="12" t="s">
        <v>16</v>
      </c>
      <c r="F237" s="13">
        <v>2519</v>
      </c>
      <c r="G237" s="13">
        <v>202</v>
      </c>
      <c r="H237" s="13">
        <v>239</v>
      </c>
      <c r="I237" s="13">
        <v>36245</v>
      </c>
      <c r="J237" s="13">
        <v>48606</v>
      </c>
      <c r="K237" s="13">
        <v>145</v>
      </c>
      <c r="L237" s="12" t="s">
        <v>20</v>
      </c>
      <c r="M237" s="12" t="s">
        <v>20</v>
      </c>
      <c r="N237" s="12"/>
      <c r="O237" s="69" t="s">
        <v>21</v>
      </c>
      <c r="P237" s="53">
        <f t="shared" si="3"/>
        <v>8.1666436749896543E-2</v>
      </c>
      <c r="Q237" s="31"/>
      <c r="R237" s="31"/>
    </row>
    <row r="238" spans="1:18" s="58" customFormat="1" ht="15.75" hidden="1" customHeight="1">
      <c r="A238" s="12" t="s">
        <v>268</v>
      </c>
      <c r="B238" s="12" t="s">
        <v>28</v>
      </c>
      <c r="C238" s="98">
        <v>45305</v>
      </c>
      <c r="D238" s="12" t="s">
        <v>15</v>
      </c>
      <c r="E238" s="12" t="s">
        <v>354</v>
      </c>
      <c r="F238" s="13">
        <v>4502</v>
      </c>
      <c r="G238" s="13">
        <v>238</v>
      </c>
      <c r="H238" s="13">
        <v>386</v>
      </c>
      <c r="I238" s="13">
        <v>39198</v>
      </c>
      <c r="J238" s="13">
        <v>25050</v>
      </c>
      <c r="K238" s="13">
        <v>297</v>
      </c>
      <c r="L238" s="12" t="s">
        <v>372</v>
      </c>
      <c r="M238" s="12" t="s">
        <v>20</v>
      </c>
      <c r="N238" s="12" t="s">
        <v>352</v>
      </c>
      <c r="O238" s="69" t="s">
        <v>21</v>
      </c>
      <c r="P238" s="53">
        <f t="shared" si="3"/>
        <v>0.13077197816215114</v>
      </c>
      <c r="Q238" s="31"/>
      <c r="R238" s="31"/>
    </row>
    <row r="239" spans="1:18" s="58" customFormat="1" ht="15.75" customHeight="1">
      <c r="A239" s="12" t="s">
        <v>269</v>
      </c>
      <c r="B239" s="12" t="s">
        <v>14</v>
      </c>
      <c r="C239" s="98">
        <v>45823</v>
      </c>
      <c r="D239" s="187" t="s">
        <v>15</v>
      </c>
      <c r="E239" s="187" t="s">
        <v>19</v>
      </c>
      <c r="F239" s="13">
        <v>2478</v>
      </c>
      <c r="G239" s="13">
        <v>427</v>
      </c>
      <c r="H239" s="13">
        <v>242</v>
      </c>
      <c r="I239" s="13">
        <v>59272</v>
      </c>
      <c r="J239" s="13">
        <v>37833</v>
      </c>
      <c r="K239" s="13">
        <v>214</v>
      </c>
      <c r="L239" s="12" t="s">
        <v>370</v>
      </c>
      <c r="M239" s="12" t="s">
        <v>38</v>
      </c>
      <c r="N239" s="12" t="s">
        <v>35</v>
      </c>
      <c r="O239" s="190" t="s">
        <v>17</v>
      </c>
      <c r="P239" s="30">
        <f t="shared" si="3"/>
        <v>5.3094209744904843E-2</v>
      </c>
      <c r="Q239" s="31"/>
      <c r="R239" s="31"/>
    </row>
    <row r="240" spans="1:18" s="58" customFormat="1" ht="15.75" customHeight="1">
      <c r="A240" s="12" t="s">
        <v>270</v>
      </c>
      <c r="B240" s="12" t="s">
        <v>23</v>
      </c>
      <c r="C240" s="98">
        <v>45639</v>
      </c>
      <c r="D240" s="187" t="s">
        <v>24</v>
      </c>
      <c r="E240" s="187" t="s">
        <v>25</v>
      </c>
      <c r="F240" s="13">
        <v>4984</v>
      </c>
      <c r="G240" s="13">
        <v>300</v>
      </c>
      <c r="H240" s="13">
        <v>338</v>
      </c>
      <c r="I240" s="13">
        <v>32900</v>
      </c>
      <c r="J240" s="13">
        <v>31691</v>
      </c>
      <c r="K240" s="13">
        <v>160</v>
      </c>
      <c r="L240" s="12" t="s">
        <v>371</v>
      </c>
      <c r="M240" s="12" t="s">
        <v>351</v>
      </c>
      <c r="N240" s="12" t="s">
        <v>35</v>
      </c>
      <c r="O240" s="190" t="s">
        <v>17</v>
      </c>
      <c r="P240" s="30">
        <f t="shared" si="3"/>
        <v>0.17088145896656534</v>
      </c>
      <c r="Q240" s="31"/>
      <c r="R240" s="31"/>
    </row>
    <row r="241" spans="1:18" s="58" customFormat="1" ht="15.75" hidden="1" customHeight="1">
      <c r="A241" s="12" t="s">
        <v>271</v>
      </c>
      <c r="B241" s="12" t="s">
        <v>28</v>
      </c>
      <c r="C241" s="98">
        <v>45533</v>
      </c>
      <c r="D241" s="12" t="s">
        <v>15</v>
      </c>
      <c r="E241" s="12" t="s">
        <v>353</v>
      </c>
      <c r="F241" s="13">
        <v>4774</v>
      </c>
      <c r="G241" s="13">
        <v>389</v>
      </c>
      <c r="H241" s="13">
        <v>358</v>
      </c>
      <c r="I241" s="13">
        <v>52346</v>
      </c>
      <c r="J241" s="13">
        <v>30518</v>
      </c>
      <c r="K241" s="13">
        <v>277</v>
      </c>
      <c r="L241" s="12" t="s">
        <v>372</v>
      </c>
      <c r="M241" s="12" t="s">
        <v>20</v>
      </c>
      <c r="N241" s="12" t="s">
        <v>352</v>
      </c>
      <c r="O241" s="69" t="s">
        <v>21</v>
      </c>
      <c r="P241" s="53">
        <f t="shared" si="3"/>
        <v>0.10547128720437092</v>
      </c>
      <c r="Q241" s="31"/>
      <c r="R241" s="31"/>
    </row>
    <row r="242" spans="1:18" s="58" customFormat="1" ht="15.75" customHeight="1">
      <c r="A242" s="12" t="s">
        <v>272</v>
      </c>
      <c r="B242" s="12" t="s">
        <v>23</v>
      </c>
      <c r="C242" s="98">
        <v>45550</v>
      </c>
      <c r="D242" s="187" t="s">
        <v>15</v>
      </c>
      <c r="E242" s="187" t="s">
        <v>31</v>
      </c>
      <c r="F242" s="13">
        <v>2145</v>
      </c>
      <c r="G242" s="13">
        <v>340</v>
      </c>
      <c r="H242" s="13">
        <v>85</v>
      </c>
      <c r="I242" s="13">
        <v>53323</v>
      </c>
      <c r="J242" s="13">
        <v>49938</v>
      </c>
      <c r="K242" s="13">
        <v>104</v>
      </c>
      <c r="L242" s="12" t="s">
        <v>35</v>
      </c>
      <c r="M242" s="12" t="s">
        <v>35</v>
      </c>
      <c r="N242" s="12"/>
      <c r="O242" s="190" t="s">
        <v>17</v>
      </c>
      <c r="P242" s="30">
        <f t="shared" si="3"/>
        <v>4.819683813738912E-2</v>
      </c>
      <c r="Q242" s="31"/>
      <c r="R242" s="31"/>
    </row>
    <row r="243" spans="1:18" s="58" customFormat="1" ht="15.75" customHeight="1">
      <c r="A243" s="12" t="s">
        <v>273</v>
      </c>
      <c r="B243" s="12" t="s">
        <v>23</v>
      </c>
      <c r="C243" s="98">
        <v>45759</v>
      </c>
      <c r="D243" s="187" t="s">
        <v>24</v>
      </c>
      <c r="E243" s="187" t="s">
        <v>355</v>
      </c>
      <c r="F243" s="13">
        <v>4315</v>
      </c>
      <c r="G243" s="13">
        <v>208</v>
      </c>
      <c r="H243" s="13">
        <v>273</v>
      </c>
      <c r="I243" s="13">
        <v>35780</v>
      </c>
      <c r="J243" s="13">
        <v>44349</v>
      </c>
      <c r="K243" s="13">
        <v>133</v>
      </c>
      <c r="L243" s="12" t="s">
        <v>373</v>
      </c>
      <c r="M243" s="12" t="s">
        <v>20</v>
      </c>
      <c r="N243" s="12" t="s">
        <v>351</v>
      </c>
      <c r="O243" s="190" t="s">
        <v>17</v>
      </c>
      <c r="P243" s="30">
        <f t="shared" si="3"/>
        <v>0.13404136389044158</v>
      </c>
      <c r="Q243" s="31"/>
      <c r="R243" s="31"/>
    </row>
    <row r="244" spans="1:18" s="58" customFormat="1" ht="15.75" customHeight="1">
      <c r="A244" s="12" t="s">
        <v>274</v>
      </c>
      <c r="B244" s="12" t="s">
        <v>23</v>
      </c>
      <c r="C244" s="98">
        <v>45636</v>
      </c>
      <c r="D244" s="187" t="s">
        <v>24</v>
      </c>
      <c r="E244" s="187" t="s">
        <v>353</v>
      </c>
      <c r="F244" s="13">
        <v>2267</v>
      </c>
      <c r="G244" s="13">
        <v>230</v>
      </c>
      <c r="H244" s="13">
        <v>243</v>
      </c>
      <c r="I244" s="13">
        <v>27904</v>
      </c>
      <c r="J244" s="13">
        <v>69771</v>
      </c>
      <c r="K244" s="13">
        <v>255</v>
      </c>
      <c r="L244" s="12" t="s">
        <v>373</v>
      </c>
      <c r="M244" s="12" t="s">
        <v>20</v>
      </c>
      <c r="N244" s="12" t="s">
        <v>351</v>
      </c>
      <c r="O244" s="190" t="s">
        <v>17</v>
      </c>
      <c r="P244" s="30">
        <f t="shared" si="3"/>
        <v>9.8193807339449546E-2</v>
      </c>
      <c r="Q244" s="31"/>
      <c r="R244" s="31"/>
    </row>
    <row r="245" spans="1:18" s="58" customFormat="1" ht="15.75" hidden="1" customHeight="1">
      <c r="A245" s="12" t="s">
        <v>275</v>
      </c>
      <c r="B245" s="12" t="s">
        <v>28</v>
      </c>
      <c r="C245" s="98">
        <v>45816</v>
      </c>
      <c r="D245" s="12" t="s">
        <v>15</v>
      </c>
      <c r="E245" s="12" t="s">
        <v>356</v>
      </c>
      <c r="F245" s="13">
        <v>4375</v>
      </c>
      <c r="G245" s="13">
        <v>303</v>
      </c>
      <c r="H245" s="13">
        <v>294</v>
      </c>
      <c r="I245" s="13">
        <v>57468</v>
      </c>
      <c r="J245" s="13">
        <v>53397</v>
      </c>
      <c r="K245" s="13">
        <v>159</v>
      </c>
      <c r="L245" s="12" t="s">
        <v>372</v>
      </c>
      <c r="M245" s="12" t="s">
        <v>20</v>
      </c>
      <c r="N245" s="12" t="s">
        <v>352</v>
      </c>
      <c r="O245" s="69" t="s">
        <v>21</v>
      </c>
      <c r="P245" s="53">
        <f t="shared" si="3"/>
        <v>8.6517714206166912E-2</v>
      </c>
      <c r="Q245" s="31"/>
      <c r="R245" s="31"/>
    </row>
    <row r="246" spans="1:18" s="58" customFormat="1" ht="15.75" customHeight="1">
      <c r="A246" s="12" t="s">
        <v>276</v>
      </c>
      <c r="B246" s="12" t="s">
        <v>23</v>
      </c>
      <c r="C246" s="98">
        <v>45666</v>
      </c>
      <c r="D246" s="187" t="s">
        <v>24</v>
      </c>
      <c r="E246" s="187" t="s">
        <v>43</v>
      </c>
      <c r="F246" s="13">
        <v>3817</v>
      </c>
      <c r="G246" s="13">
        <v>284</v>
      </c>
      <c r="H246" s="13">
        <v>204</v>
      </c>
      <c r="I246" s="13">
        <v>46434</v>
      </c>
      <c r="J246" s="13">
        <v>53396</v>
      </c>
      <c r="K246" s="13">
        <v>104</v>
      </c>
      <c r="L246" s="12" t="s">
        <v>371</v>
      </c>
      <c r="M246" s="12" t="s">
        <v>351</v>
      </c>
      <c r="N246" s="12" t="s">
        <v>35</v>
      </c>
      <c r="O246" s="190" t="s">
        <v>17</v>
      </c>
      <c r="P246" s="30">
        <f t="shared" si="3"/>
        <v>9.2712236723090841E-2</v>
      </c>
      <c r="Q246" s="31"/>
      <c r="R246" s="31"/>
    </row>
    <row r="247" spans="1:18" s="58" customFormat="1" ht="15.75" customHeight="1">
      <c r="A247" s="12" t="s">
        <v>277</v>
      </c>
      <c r="B247" s="12" t="s">
        <v>23</v>
      </c>
      <c r="C247" s="98">
        <v>45481</v>
      </c>
      <c r="D247" s="187" t="s">
        <v>24</v>
      </c>
      <c r="E247" s="187" t="s">
        <v>34</v>
      </c>
      <c r="F247" s="13">
        <v>2981</v>
      </c>
      <c r="G247" s="13">
        <v>258</v>
      </c>
      <c r="H247" s="13">
        <v>168</v>
      </c>
      <c r="I247" s="13">
        <v>20677</v>
      </c>
      <c r="J247" s="13">
        <v>68290</v>
      </c>
      <c r="K247" s="13">
        <v>130</v>
      </c>
      <c r="L247" s="12" t="s">
        <v>370</v>
      </c>
      <c r="M247" s="12" t="s">
        <v>38</v>
      </c>
      <c r="N247" s="12" t="s">
        <v>35</v>
      </c>
      <c r="O247" s="190" t="s">
        <v>17</v>
      </c>
      <c r="P247" s="30">
        <f t="shared" si="3"/>
        <v>0.16477245248343569</v>
      </c>
      <c r="Q247" s="31"/>
      <c r="R247" s="31"/>
    </row>
    <row r="248" spans="1:18" s="58" customFormat="1" ht="15.75" customHeight="1">
      <c r="A248" s="12" t="s">
        <v>278</v>
      </c>
      <c r="B248" s="12" t="s">
        <v>23</v>
      </c>
      <c r="C248" s="98">
        <v>45551</v>
      </c>
      <c r="D248" s="187" t="s">
        <v>24</v>
      </c>
      <c r="E248" s="187" t="s">
        <v>43</v>
      </c>
      <c r="F248" s="13">
        <v>3300</v>
      </c>
      <c r="G248" s="13">
        <v>354</v>
      </c>
      <c r="H248" s="13">
        <v>397</v>
      </c>
      <c r="I248" s="13">
        <v>56773</v>
      </c>
      <c r="J248" s="13">
        <v>72110</v>
      </c>
      <c r="K248" s="13">
        <v>163</v>
      </c>
      <c r="L248" s="12" t="s">
        <v>373</v>
      </c>
      <c r="M248" s="12" t="s">
        <v>20</v>
      </c>
      <c r="N248" s="12" t="s">
        <v>351</v>
      </c>
      <c r="O248" s="190" t="s">
        <v>17</v>
      </c>
      <c r="P248" s="30">
        <f t="shared" si="3"/>
        <v>7.1354340971940891E-2</v>
      </c>
      <c r="Q248" s="31"/>
      <c r="R248" s="31"/>
    </row>
    <row r="249" spans="1:18" s="58" customFormat="1" ht="15.75" hidden="1" customHeight="1">
      <c r="A249" s="12" t="s">
        <v>279</v>
      </c>
      <c r="B249" s="12" t="s">
        <v>28</v>
      </c>
      <c r="C249" s="98">
        <v>45457</v>
      </c>
      <c r="D249" s="12" t="s">
        <v>49</v>
      </c>
      <c r="E249" s="12" t="s">
        <v>353</v>
      </c>
      <c r="F249" s="13">
        <v>4722</v>
      </c>
      <c r="G249" s="13">
        <v>310</v>
      </c>
      <c r="H249" s="13">
        <v>344</v>
      </c>
      <c r="I249" s="13">
        <v>27911</v>
      </c>
      <c r="J249" s="13">
        <v>19000</v>
      </c>
      <c r="K249" s="13">
        <v>225</v>
      </c>
      <c r="L249" s="12" t="s">
        <v>374</v>
      </c>
      <c r="M249" s="12" t="s">
        <v>20</v>
      </c>
      <c r="N249" s="12" t="s">
        <v>38</v>
      </c>
      <c r="O249" s="69" t="s">
        <v>50</v>
      </c>
      <c r="P249" s="53">
        <f t="shared" si="3"/>
        <v>0.19261223173659131</v>
      </c>
      <c r="Q249" s="31"/>
      <c r="R249" s="31"/>
    </row>
    <row r="250" spans="1:18" s="58" customFormat="1" ht="15.75" hidden="1" customHeight="1">
      <c r="A250" s="12" t="s">
        <v>280</v>
      </c>
      <c r="B250" s="12" t="s">
        <v>14</v>
      </c>
      <c r="C250" s="98">
        <v>45357</v>
      </c>
      <c r="D250" s="12" t="s">
        <v>15</v>
      </c>
      <c r="E250" s="12" t="s">
        <v>354</v>
      </c>
      <c r="F250" s="13">
        <v>3529</v>
      </c>
      <c r="G250" s="13">
        <v>263</v>
      </c>
      <c r="H250" s="13">
        <v>107</v>
      </c>
      <c r="I250" s="13">
        <v>26570</v>
      </c>
      <c r="J250" s="13">
        <v>19367</v>
      </c>
      <c r="K250" s="13">
        <v>96</v>
      </c>
      <c r="L250" s="12" t="s">
        <v>20</v>
      </c>
      <c r="M250" s="12" t="s">
        <v>20</v>
      </c>
      <c r="N250" s="12"/>
      <c r="O250" s="69" t="s">
        <v>21</v>
      </c>
      <c r="P250" s="53">
        <f t="shared" si="3"/>
        <v>0.14674444862627023</v>
      </c>
      <c r="Q250" s="31"/>
      <c r="R250" s="31"/>
    </row>
    <row r="251" spans="1:18" s="58" customFormat="1" ht="15.75" customHeight="1">
      <c r="A251" s="12" t="s">
        <v>281</v>
      </c>
      <c r="B251" s="12" t="s">
        <v>23</v>
      </c>
      <c r="C251" s="98">
        <v>45792</v>
      </c>
      <c r="D251" s="187" t="s">
        <v>15</v>
      </c>
      <c r="E251" s="187" t="s">
        <v>43</v>
      </c>
      <c r="F251" s="13">
        <v>4782</v>
      </c>
      <c r="G251" s="13">
        <v>210</v>
      </c>
      <c r="H251" s="13">
        <v>311</v>
      </c>
      <c r="I251" s="13">
        <v>29793</v>
      </c>
      <c r="J251" s="13">
        <v>37543</v>
      </c>
      <c r="K251" s="13">
        <v>145</v>
      </c>
      <c r="L251" s="12" t="s">
        <v>35</v>
      </c>
      <c r="M251" s="12" t="s">
        <v>35</v>
      </c>
      <c r="N251" s="12"/>
      <c r="O251" s="190" t="s">
        <v>17</v>
      </c>
      <c r="P251" s="30">
        <f t="shared" si="3"/>
        <v>0.17799483100057059</v>
      </c>
      <c r="Q251" s="31"/>
      <c r="R251" s="31"/>
    </row>
    <row r="252" spans="1:18" s="58" customFormat="1" ht="15.75" hidden="1" customHeight="1">
      <c r="A252" s="12" t="s">
        <v>282</v>
      </c>
      <c r="B252" s="12" t="s">
        <v>23</v>
      </c>
      <c r="C252" s="98">
        <v>45480</v>
      </c>
      <c r="D252" s="12" t="s">
        <v>15</v>
      </c>
      <c r="E252" s="12" t="s">
        <v>354</v>
      </c>
      <c r="F252" s="13">
        <v>1848</v>
      </c>
      <c r="G252" s="13">
        <v>417</v>
      </c>
      <c r="H252" s="13">
        <v>294</v>
      </c>
      <c r="I252" s="13">
        <v>57819</v>
      </c>
      <c r="J252" s="13">
        <v>19798</v>
      </c>
      <c r="K252" s="13">
        <v>262</v>
      </c>
      <c r="L252" s="12" t="s">
        <v>38</v>
      </c>
      <c r="M252" s="12" t="s">
        <v>38</v>
      </c>
      <c r="N252" s="12"/>
      <c r="O252" s="69" t="s">
        <v>21</v>
      </c>
      <c r="P252" s="53">
        <f t="shared" si="3"/>
        <v>4.4258807658382193E-2</v>
      </c>
      <c r="Q252" s="31"/>
      <c r="R252" s="31"/>
    </row>
    <row r="253" spans="1:18" s="58" customFormat="1" ht="15.75" hidden="1" customHeight="1">
      <c r="A253" s="12" t="s">
        <v>283</v>
      </c>
      <c r="B253" s="12" t="s">
        <v>28</v>
      </c>
      <c r="C253" s="98">
        <v>45591</v>
      </c>
      <c r="D253" s="12" t="s">
        <v>15</v>
      </c>
      <c r="E253" s="12" t="s">
        <v>25</v>
      </c>
      <c r="F253" s="13">
        <v>4676</v>
      </c>
      <c r="G253" s="13">
        <v>211</v>
      </c>
      <c r="H253" s="13">
        <v>55</v>
      </c>
      <c r="I253" s="13">
        <v>45917</v>
      </c>
      <c r="J253" s="13">
        <v>73503</v>
      </c>
      <c r="K253" s="13">
        <v>248</v>
      </c>
      <c r="L253" s="12" t="s">
        <v>372</v>
      </c>
      <c r="M253" s="12" t="s">
        <v>20</v>
      </c>
      <c r="N253" s="12" t="s">
        <v>352</v>
      </c>
      <c r="O253" s="69" t="s">
        <v>21</v>
      </c>
      <c r="P253" s="53">
        <f t="shared" si="3"/>
        <v>0.10762898272970794</v>
      </c>
      <c r="Q253" s="31"/>
      <c r="R253" s="31"/>
    </row>
    <row r="254" spans="1:18" s="58" customFormat="1" ht="15.75" hidden="1" customHeight="1">
      <c r="A254" s="12" t="s">
        <v>284</v>
      </c>
      <c r="B254" s="12" t="s">
        <v>28</v>
      </c>
      <c r="C254" s="98">
        <v>45512</v>
      </c>
      <c r="D254" s="12" t="s">
        <v>15</v>
      </c>
      <c r="E254" s="12" t="s">
        <v>355</v>
      </c>
      <c r="F254" s="13">
        <v>1994</v>
      </c>
      <c r="G254" s="13">
        <v>197</v>
      </c>
      <c r="H254" s="13">
        <v>290</v>
      </c>
      <c r="I254" s="13">
        <v>49500</v>
      </c>
      <c r="J254" s="13">
        <v>23343</v>
      </c>
      <c r="K254" s="13">
        <v>160</v>
      </c>
      <c r="L254" s="12" t="s">
        <v>372</v>
      </c>
      <c r="M254" s="12" t="s">
        <v>20</v>
      </c>
      <c r="N254" s="12" t="s">
        <v>352</v>
      </c>
      <c r="O254" s="69" t="s">
        <v>21</v>
      </c>
      <c r="P254" s="53">
        <f t="shared" si="3"/>
        <v>5.0121212121212122E-2</v>
      </c>
      <c r="Q254" s="31"/>
      <c r="R254" s="31"/>
    </row>
    <row r="255" spans="1:18" s="58" customFormat="1" ht="15.75" customHeight="1">
      <c r="A255" s="12" t="s">
        <v>285</v>
      </c>
      <c r="B255" s="12" t="s">
        <v>23</v>
      </c>
      <c r="C255" s="98">
        <v>45691</v>
      </c>
      <c r="D255" s="187" t="s">
        <v>15</v>
      </c>
      <c r="E255" s="187" t="s">
        <v>354</v>
      </c>
      <c r="F255" s="13">
        <v>4995</v>
      </c>
      <c r="G255" s="13">
        <v>231</v>
      </c>
      <c r="H255" s="13">
        <v>94</v>
      </c>
      <c r="I255" s="13">
        <v>34431</v>
      </c>
      <c r="J255" s="13">
        <v>32560</v>
      </c>
      <c r="K255" s="13">
        <v>262</v>
      </c>
      <c r="L255" s="12" t="s">
        <v>35</v>
      </c>
      <c r="M255" s="12" t="s">
        <v>35</v>
      </c>
      <c r="N255" s="12"/>
      <c r="O255" s="190" t="s">
        <v>17</v>
      </c>
      <c r="P255" s="30">
        <f t="shared" si="3"/>
        <v>0.15451192239551567</v>
      </c>
      <c r="Q255" s="31"/>
      <c r="R255" s="93"/>
    </row>
    <row r="256" spans="1:18" s="58" customFormat="1" ht="15.75" customHeight="1">
      <c r="A256" s="12" t="s">
        <v>286</v>
      </c>
      <c r="B256" s="12" t="s">
        <v>23</v>
      </c>
      <c r="C256" s="98">
        <v>45385</v>
      </c>
      <c r="D256" s="187" t="s">
        <v>24</v>
      </c>
      <c r="E256" s="187" t="s">
        <v>34</v>
      </c>
      <c r="F256" s="13">
        <v>2291</v>
      </c>
      <c r="G256" s="13">
        <v>146</v>
      </c>
      <c r="H256" s="13">
        <v>399</v>
      </c>
      <c r="I256" s="13">
        <v>49319</v>
      </c>
      <c r="J256" s="13">
        <v>28056</v>
      </c>
      <c r="K256" s="13">
        <v>90</v>
      </c>
      <c r="L256" s="12" t="s">
        <v>373</v>
      </c>
      <c r="M256" s="12" t="s">
        <v>20</v>
      </c>
      <c r="N256" s="12" t="s">
        <v>351</v>
      </c>
      <c r="O256" s="190" t="s">
        <v>17</v>
      </c>
      <c r="P256" s="30">
        <f t="shared" si="3"/>
        <v>5.7503193495407452E-2</v>
      </c>
      <c r="Q256" s="31"/>
      <c r="R256" s="31"/>
    </row>
    <row r="257" spans="1:19" ht="15.75" customHeight="1">
      <c r="A257" s="12" t="s">
        <v>287</v>
      </c>
      <c r="B257" s="12" t="s">
        <v>23</v>
      </c>
      <c r="C257" s="98">
        <v>45481</v>
      </c>
      <c r="D257" s="187" t="s">
        <v>24</v>
      </c>
      <c r="E257" s="187" t="s">
        <v>353</v>
      </c>
      <c r="F257" s="13">
        <v>2304</v>
      </c>
      <c r="G257" s="13">
        <v>289</v>
      </c>
      <c r="H257" s="13">
        <v>161</v>
      </c>
      <c r="I257" s="13">
        <v>52645</v>
      </c>
      <c r="J257" s="13">
        <v>66262</v>
      </c>
      <c r="K257" s="13">
        <v>146</v>
      </c>
      <c r="L257" s="12" t="s">
        <v>371</v>
      </c>
      <c r="M257" s="12" t="s">
        <v>351</v>
      </c>
      <c r="N257" s="12" t="s">
        <v>35</v>
      </c>
      <c r="O257" s="190" t="s">
        <v>17</v>
      </c>
      <c r="P257" s="30">
        <f t="shared" si="3"/>
        <v>5.2312660271630736E-2</v>
      </c>
      <c r="R257" s="31"/>
      <c r="S257" s="58"/>
    </row>
    <row r="258" spans="1:19" ht="15.75" customHeight="1">
      <c r="A258" s="12" t="s">
        <v>288</v>
      </c>
      <c r="B258" s="12" t="s">
        <v>23</v>
      </c>
      <c r="C258" s="98">
        <v>45451</v>
      </c>
      <c r="D258" s="187" t="s">
        <v>24</v>
      </c>
      <c r="E258" s="187" t="s">
        <v>34</v>
      </c>
      <c r="F258" s="13">
        <v>3413</v>
      </c>
      <c r="G258" s="13">
        <v>326</v>
      </c>
      <c r="H258" s="13">
        <v>86</v>
      </c>
      <c r="I258" s="13">
        <v>44680</v>
      </c>
      <c r="J258" s="13">
        <v>52719</v>
      </c>
      <c r="K258" s="13">
        <v>272</v>
      </c>
      <c r="L258" s="12" t="s">
        <v>373</v>
      </c>
      <c r="M258" s="12" t="s">
        <v>20</v>
      </c>
      <c r="N258" s="12" t="s">
        <v>351</v>
      </c>
      <c r="O258" s="190" t="s">
        <v>17</v>
      </c>
      <c r="P258" s="30">
        <f t="shared" ref="P258:P301" si="4">(F258+G258+H258)/I258</f>
        <v>8.5608773500447627E-2</v>
      </c>
      <c r="R258" s="31"/>
      <c r="S258" s="58"/>
    </row>
    <row r="259" spans="1:19" ht="15.75" hidden="1" customHeight="1">
      <c r="A259" s="12" t="s">
        <v>289</v>
      </c>
      <c r="B259" s="12" t="s">
        <v>28</v>
      </c>
      <c r="C259" s="98">
        <v>45736</v>
      </c>
      <c r="D259" s="12" t="s">
        <v>49</v>
      </c>
      <c r="E259" s="12" t="s">
        <v>355</v>
      </c>
      <c r="F259" s="13">
        <v>1453</v>
      </c>
      <c r="G259" s="13">
        <v>156</v>
      </c>
      <c r="H259" s="13">
        <v>178</v>
      </c>
      <c r="I259" s="13">
        <v>52980</v>
      </c>
      <c r="J259" s="13">
        <v>57180</v>
      </c>
      <c r="K259" s="13">
        <v>286</v>
      </c>
      <c r="L259" s="12" t="s">
        <v>374</v>
      </c>
      <c r="M259" s="12" t="s">
        <v>20</v>
      </c>
      <c r="N259" s="12" t="s">
        <v>38</v>
      </c>
      <c r="O259" s="69" t="s">
        <v>50</v>
      </c>
      <c r="P259" s="53">
        <f t="shared" si="4"/>
        <v>3.3729709324273313E-2</v>
      </c>
      <c r="R259" s="31"/>
      <c r="S259" s="58"/>
    </row>
    <row r="260" spans="1:19" ht="15.75" customHeight="1">
      <c r="A260" s="12" t="s">
        <v>290</v>
      </c>
      <c r="B260" s="12" t="s">
        <v>23</v>
      </c>
      <c r="C260" s="98">
        <v>45676</v>
      </c>
      <c r="D260" s="187" t="s">
        <v>24</v>
      </c>
      <c r="E260" s="187" t="s">
        <v>356</v>
      </c>
      <c r="F260" s="13">
        <v>1651</v>
      </c>
      <c r="G260" s="13">
        <v>480</v>
      </c>
      <c r="H260" s="13">
        <v>282</v>
      </c>
      <c r="I260" s="13">
        <v>32140</v>
      </c>
      <c r="J260" s="13">
        <v>70560</v>
      </c>
      <c r="K260" s="13">
        <v>138</v>
      </c>
      <c r="L260" s="12" t="s">
        <v>370</v>
      </c>
      <c r="M260" s="12" t="s">
        <v>38</v>
      </c>
      <c r="N260" s="12" t="s">
        <v>35</v>
      </c>
      <c r="O260" s="190" t="s">
        <v>17</v>
      </c>
      <c r="P260" s="30">
        <f t="shared" si="4"/>
        <v>7.5077784691972627E-2</v>
      </c>
      <c r="S260" s="58"/>
    </row>
    <row r="261" spans="1:19" ht="15.75" customHeight="1">
      <c r="A261" s="12" t="s">
        <v>291</v>
      </c>
      <c r="B261" s="12" t="s">
        <v>23</v>
      </c>
      <c r="C261" s="98">
        <v>45662</v>
      </c>
      <c r="D261" s="187" t="s">
        <v>24</v>
      </c>
      <c r="E261" s="187" t="s">
        <v>19</v>
      </c>
      <c r="F261" s="13">
        <v>3341</v>
      </c>
      <c r="G261" s="13">
        <v>154</v>
      </c>
      <c r="H261" s="13">
        <v>123</v>
      </c>
      <c r="I261" s="13">
        <v>43369</v>
      </c>
      <c r="J261" s="13">
        <v>49035</v>
      </c>
      <c r="K261" s="13">
        <v>128</v>
      </c>
      <c r="L261" s="12" t="s">
        <v>371</v>
      </c>
      <c r="M261" s="12" t="s">
        <v>351</v>
      </c>
      <c r="N261" s="12" t="s">
        <v>35</v>
      </c>
      <c r="O261" s="190" t="s">
        <v>17</v>
      </c>
      <c r="P261" s="30">
        <f t="shared" si="4"/>
        <v>8.3423643616408028E-2</v>
      </c>
      <c r="R261" s="31"/>
      <c r="S261" s="58"/>
    </row>
    <row r="262" spans="1:19" ht="15.75" hidden="1" customHeight="1">
      <c r="A262" s="12" t="s">
        <v>292</v>
      </c>
      <c r="B262" s="12" t="s">
        <v>23</v>
      </c>
      <c r="C262" s="98">
        <v>45612</v>
      </c>
      <c r="D262" s="12" t="s">
        <v>15</v>
      </c>
      <c r="E262" s="12" t="s">
        <v>355</v>
      </c>
      <c r="F262" s="13">
        <v>2972</v>
      </c>
      <c r="G262" s="13">
        <v>263</v>
      </c>
      <c r="H262" s="13">
        <v>308</v>
      </c>
      <c r="I262" s="13">
        <v>51740</v>
      </c>
      <c r="J262" s="13">
        <v>28214</v>
      </c>
      <c r="K262" s="13">
        <v>190</v>
      </c>
      <c r="L262" s="12" t="s">
        <v>38</v>
      </c>
      <c r="M262" s="12" t="s">
        <v>38</v>
      </c>
      <c r="N262" s="12"/>
      <c r="O262" s="69" t="s">
        <v>21</v>
      </c>
      <c r="P262" s="53">
        <f t="shared" si="4"/>
        <v>6.8477000386548123E-2</v>
      </c>
      <c r="R262" s="31"/>
      <c r="S262" s="58"/>
    </row>
    <row r="263" spans="1:19" ht="15.75" customHeight="1">
      <c r="A263" s="12" t="s">
        <v>293</v>
      </c>
      <c r="B263" s="12" t="s">
        <v>23</v>
      </c>
      <c r="C263" s="98">
        <v>45626</v>
      </c>
      <c r="D263" s="187" t="s">
        <v>24</v>
      </c>
      <c r="E263" s="187" t="s">
        <v>19</v>
      </c>
      <c r="F263" s="13">
        <v>4963</v>
      </c>
      <c r="G263" s="13">
        <v>255</v>
      </c>
      <c r="H263" s="13">
        <v>193</v>
      </c>
      <c r="I263" s="13">
        <v>44386</v>
      </c>
      <c r="J263" s="13">
        <v>28415</v>
      </c>
      <c r="K263" s="13">
        <v>174</v>
      </c>
      <c r="L263" s="12" t="s">
        <v>371</v>
      </c>
      <c r="M263" s="12" t="s">
        <v>351</v>
      </c>
      <c r="N263" s="12" t="s">
        <v>35</v>
      </c>
      <c r="O263" s="190" t="s">
        <v>17</v>
      </c>
      <c r="P263" s="30">
        <f t="shared" si="4"/>
        <v>0.12190780876853062</v>
      </c>
      <c r="R263" s="31"/>
      <c r="S263" s="58"/>
    </row>
    <row r="264" spans="1:19" ht="15.75" hidden="1" customHeight="1">
      <c r="A264" s="12" t="s">
        <v>294</v>
      </c>
      <c r="B264" s="12" t="s">
        <v>28</v>
      </c>
      <c r="C264" s="98">
        <v>45378</v>
      </c>
      <c r="D264" s="12" t="s">
        <v>15</v>
      </c>
      <c r="E264" s="12" t="s">
        <v>356</v>
      </c>
      <c r="F264" s="13">
        <v>2399</v>
      </c>
      <c r="G264" s="13">
        <v>191</v>
      </c>
      <c r="H264" s="13">
        <v>221</v>
      </c>
      <c r="I264" s="13">
        <v>51603</v>
      </c>
      <c r="J264" s="13">
        <v>40033</v>
      </c>
      <c r="K264" s="13">
        <v>173</v>
      </c>
      <c r="L264" s="12" t="s">
        <v>372</v>
      </c>
      <c r="M264" s="12" t="s">
        <v>20</v>
      </c>
      <c r="N264" s="12" t="s">
        <v>352</v>
      </c>
      <c r="O264" s="69" t="s">
        <v>21</v>
      </c>
      <c r="P264" s="53">
        <f t="shared" si="4"/>
        <v>5.4473577117609438E-2</v>
      </c>
      <c r="R264" s="31"/>
      <c r="S264" s="58"/>
    </row>
    <row r="265" spans="1:19" ht="15.75" hidden="1" customHeight="1">
      <c r="A265" s="12" t="s">
        <v>295</v>
      </c>
      <c r="B265" s="12" t="s">
        <v>28</v>
      </c>
      <c r="C265" s="98">
        <v>45808</v>
      </c>
      <c r="D265" s="12" t="s">
        <v>49</v>
      </c>
      <c r="E265" s="12" t="s">
        <v>31</v>
      </c>
      <c r="F265" s="13">
        <v>2162</v>
      </c>
      <c r="G265" s="13">
        <v>318</v>
      </c>
      <c r="H265" s="13">
        <v>83</v>
      </c>
      <c r="I265" s="13">
        <v>46719</v>
      </c>
      <c r="J265" s="13">
        <v>20482</v>
      </c>
      <c r="K265" s="13">
        <v>185</v>
      </c>
      <c r="L265" s="12" t="s">
        <v>374</v>
      </c>
      <c r="M265" s="12" t="s">
        <v>20</v>
      </c>
      <c r="N265" s="12" t="s">
        <v>38</v>
      </c>
      <c r="O265" s="69" t="s">
        <v>50</v>
      </c>
      <c r="P265" s="53">
        <f t="shared" si="4"/>
        <v>5.4859907104176028E-2</v>
      </c>
      <c r="R265" s="31"/>
      <c r="S265" s="58"/>
    </row>
    <row r="266" spans="1:19" ht="15.75" customHeight="1">
      <c r="A266" s="12" t="s">
        <v>296</v>
      </c>
      <c r="B266" s="12" t="s">
        <v>23</v>
      </c>
      <c r="C266" s="98">
        <v>45825</v>
      </c>
      <c r="D266" s="187" t="s">
        <v>24</v>
      </c>
      <c r="E266" s="187" t="s">
        <v>19</v>
      </c>
      <c r="F266" s="13">
        <v>4341</v>
      </c>
      <c r="G266" s="13">
        <v>141</v>
      </c>
      <c r="H266" s="13">
        <v>63</v>
      </c>
      <c r="I266" s="13">
        <v>50081</v>
      </c>
      <c r="J266" s="13">
        <v>27507</v>
      </c>
      <c r="K266" s="13">
        <v>221</v>
      </c>
      <c r="L266" s="12" t="s">
        <v>373</v>
      </c>
      <c r="M266" s="12" t="s">
        <v>20</v>
      </c>
      <c r="N266" s="12" t="s">
        <v>351</v>
      </c>
      <c r="O266" s="190" t="s">
        <v>17</v>
      </c>
      <c r="P266" s="30">
        <f t="shared" si="4"/>
        <v>9.0752980172121162E-2</v>
      </c>
      <c r="R266" s="31"/>
      <c r="S266" s="58"/>
    </row>
    <row r="267" spans="1:19" ht="15.75" hidden="1" customHeight="1">
      <c r="A267" s="12" t="s">
        <v>297</v>
      </c>
      <c r="B267" s="12" t="s">
        <v>14</v>
      </c>
      <c r="C267" s="98">
        <v>45442</v>
      </c>
      <c r="D267" s="12" t="s">
        <v>24</v>
      </c>
      <c r="E267" s="12" t="s">
        <v>31</v>
      </c>
      <c r="F267" s="13">
        <v>2448</v>
      </c>
      <c r="G267" s="13">
        <v>464</v>
      </c>
      <c r="H267" s="13">
        <v>98</v>
      </c>
      <c r="I267" s="13">
        <v>25737</v>
      </c>
      <c r="J267" s="13">
        <v>48545</v>
      </c>
      <c r="K267" s="13">
        <v>246</v>
      </c>
      <c r="L267" s="12" t="s">
        <v>35</v>
      </c>
      <c r="M267" s="12" t="s">
        <v>35</v>
      </c>
      <c r="N267" s="12"/>
      <c r="O267" s="69" t="s">
        <v>47</v>
      </c>
      <c r="P267" s="53">
        <f t="shared" si="4"/>
        <v>0.11695224773672146</v>
      </c>
      <c r="R267" s="31"/>
      <c r="S267" s="58"/>
    </row>
    <row r="268" spans="1:19" ht="15.75" hidden="1" customHeight="1">
      <c r="A268" s="12" t="s">
        <v>298</v>
      </c>
      <c r="B268" s="12" t="s">
        <v>28</v>
      </c>
      <c r="C268" s="98">
        <v>45604</v>
      </c>
      <c r="D268" s="12" t="s">
        <v>15</v>
      </c>
      <c r="E268" s="12" t="s">
        <v>34</v>
      </c>
      <c r="F268" s="13">
        <v>2471</v>
      </c>
      <c r="G268" s="13">
        <v>166</v>
      </c>
      <c r="H268" s="13">
        <v>320</v>
      </c>
      <c r="I268" s="13">
        <v>48254</v>
      </c>
      <c r="J268" s="13">
        <v>46900</v>
      </c>
      <c r="K268" s="13">
        <v>111</v>
      </c>
      <c r="L268" s="12" t="s">
        <v>372</v>
      </c>
      <c r="M268" s="12" t="s">
        <v>20</v>
      </c>
      <c r="N268" s="12" t="s">
        <v>352</v>
      </c>
      <c r="O268" s="69" t="s">
        <v>21</v>
      </c>
      <c r="P268" s="53">
        <f t="shared" si="4"/>
        <v>6.1279893894806647E-2</v>
      </c>
      <c r="R268" s="31"/>
      <c r="S268" s="58"/>
    </row>
    <row r="269" spans="1:19" ht="15.75" hidden="1" customHeight="1">
      <c r="A269" s="12" t="s">
        <v>299</v>
      </c>
      <c r="B269" s="12" t="s">
        <v>28</v>
      </c>
      <c r="C269" s="98">
        <v>45368</v>
      </c>
      <c r="D269" s="12" t="s">
        <v>49</v>
      </c>
      <c r="E269" s="12" t="s">
        <v>19</v>
      </c>
      <c r="F269" s="13">
        <v>2692</v>
      </c>
      <c r="G269" s="13">
        <v>446</v>
      </c>
      <c r="H269" s="13">
        <v>216</v>
      </c>
      <c r="I269" s="13">
        <v>45818</v>
      </c>
      <c r="J269" s="13">
        <v>62723</v>
      </c>
      <c r="K269" s="13">
        <v>85</v>
      </c>
      <c r="L269" s="12" t="s">
        <v>374</v>
      </c>
      <c r="M269" s="12" t="s">
        <v>20</v>
      </c>
      <c r="N269" s="12" t="s">
        <v>38</v>
      </c>
      <c r="O269" s="69" t="s">
        <v>50</v>
      </c>
      <c r="P269" s="53">
        <f t="shared" si="4"/>
        <v>7.3202671439172376E-2</v>
      </c>
      <c r="R269" s="31"/>
      <c r="S269" s="58"/>
    </row>
    <row r="270" spans="1:19" ht="15.75" hidden="1" customHeight="1">
      <c r="A270" s="12" t="s">
        <v>300</v>
      </c>
      <c r="B270" s="12" t="s">
        <v>28</v>
      </c>
      <c r="C270" s="98">
        <v>45464</v>
      </c>
      <c r="D270" s="12" t="s">
        <v>49</v>
      </c>
      <c r="E270" s="12" t="s">
        <v>356</v>
      </c>
      <c r="F270" s="13">
        <v>4621</v>
      </c>
      <c r="G270" s="13">
        <v>374</v>
      </c>
      <c r="H270" s="13">
        <v>298</v>
      </c>
      <c r="I270" s="13">
        <v>56979</v>
      </c>
      <c r="J270" s="13">
        <v>24098</v>
      </c>
      <c r="K270" s="13">
        <v>205</v>
      </c>
      <c r="L270" s="12" t="s">
        <v>374</v>
      </c>
      <c r="M270" s="12" t="s">
        <v>20</v>
      </c>
      <c r="N270" s="12" t="s">
        <v>38</v>
      </c>
      <c r="O270" s="69" t="s">
        <v>50</v>
      </c>
      <c r="P270" s="53">
        <f t="shared" si="4"/>
        <v>9.2893873181347508E-2</v>
      </c>
      <c r="R270" s="31"/>
      <c r="S270" s="58"/>
    </row>
    <row r="271" spans="1:19" ht="15.75" customHeight="1">
      <c r="A271" s="12" t="s">
        <v>301</v>
      </c>
      <c r="B271" s="12" t="s">
        <v>23</v>
      </c>
      <c r="C271" s="98">
        <v>45609</v>
      </c>
      <c r="D271" s="187" t="s">
        <v>24</v>
      </c>
      <c r="E271" s="187" t="s">
        <v>25</v>
      </c>
      <c r="F271" s="13">
        <v>1409</v>
      </c>
      <c r="G271" s="13">
        <v>466</v>
      </c>
      <c r="H271" s="13">
        <v>105</v>
      </c>
      <c r="I271" s="13">
        <v>58923</v>
      </c>
      <c r="J271" s="13">
        <v>38753</v>
      </c>
      <c r="K271" s="13">
        <v>265</v>
      </c>
      <c r="L271" s="12" t="s">
        <v>373</v>
      </c>
      <c r="M271" s="12" t="s">
        <v>20</v>
      </c>
      <c r="N271" s="12" t="s">
        <v>351</v>
      </c>
      <c r="O271" s="190" t="s">
        <v>17</v>
      </c>
      <c r="P271" s="30">
        <f t="shared" si="4"/>
        <v>3.3603177027646251E-2</v>
      </c>
      <c r="R271" s="31"/>
      <c r="S271" s="58"/>
    </row>
    <row r="272" spans="1:19" ht="15.75" customHeight="1">
      <c r="A272" s="12" t="s">
        <v>302</v>
      </c>
      <c r="B272" s="12" t="s">
        <v>23</v>
      </c>
      <c r="C272" s="98">
        <v>45693</v>
      </c>
      <c r="D272" s="187" t="s">
        <v>24</v>
      </c>
      <c r="E272" s="187" t="s">
        <v>16</v>
      </c>
      <c r="F272" s="13">
        <v>3029</v>
      </c>
      <c r="G272" s="13">
        <v>440</v>
      </c>
      <c r="H272" s="13">
        <v>66</v>
      </c>
      <c r="I272" s="13">
        <v>23815</v>
      </c>
      <c r="J272" s="13">
        <v>47895</v>
      </c>
      <c r="K272" s="13">
        <v>210</v>
      </c>
      <c r="L272" s="12" t="s">
        <v>373</v>
      </c>
      <c r="M272" s="12" t="s">
        <v>20</v>
      </c>
      <c r="N272" s="12" t="s">
        <v>351</v>
      </c>
      <c r="O272" s="190" t="s">
        <v>17</v>
      </c>
      <c r="P272" s="30">
        <f t="shared" si="4"/>
        <v>0.14843585975225698</v>
      </c>
      <c r="S272" s="58"/>
    </row>
    <row r="273" spans="1:18" s="58" customFormat="1" ht="15.75" hidden="1" customHeight="1">
      <c r="A273" s="12" t="s">
        <v>303</v>
      </c>
      <c r="B273" s="12" t="s">
        <v>23</v>
      </c>
      <c r="C273" s="98">
        <v>45603</v>
      </c>
      <c r="D273" s="12" t="s">
        <v>15</v>
      </c>
      <c r="E273" s="12" t="s">
        <v>19</v>
      </c>
      <c r="F273" s="13">
        <v>2229</v>
      </c>
      <c r="G273" s="13">
        <v>395</v>
      </c>
      <c r="H273" s="13">
        <v>328</v>
      </c>
      <c r="I273" s="13">
        <v>56921</v>
      </c>
      <c r="J273" s="13">
        <v>37176</v>
      </c>
      <c r="K273" s="13">
        <v>126</v>
      </c>
      <c r="L273" s="12" t="s">
        <v>38</v>
      </c>
      <c r="M273" s="12" t="s">
        <v>38</v>
      </c>
      <c r="N273" s="12"/>
      <c r="O273" s="69" t="s">
        <v>21</v>
      </c>
      <c r="P273" s="53">
        <f t="shared" si="4"/>
        <v>5.1861351697967357E-2</v>
      </c>
      <c r="Q273" s="31"/>
      <c r="R273" s="31"/>
    </row>
    <row r="274" spans="1:18" s="58" customFormat="1" ht="15.75" customHeight="1">
      <c r="A274" s="12" t="s">
        <v>304</v>
      </c>
      <c r="B274" s="12" t="s">
        <v>23</v>
      </c>
      <c r="C274" s="98">
        <v>45334</v>
      </c>
      <c r="D274" s="187" t="s">
        <v>15</v>
      </c>
      <c r="E274" s="187" t="s">
        <v>19</v>
      </c>
      <c r="F274" s="13">
        <v>2691</v>
      </c>
      <c r="G274" s="13">
        <v>486</v>
      </c>
      <c r="H274" s="13">
        <v>206</v>
      </c>
      <c r="I274" s="13">
        <v>51133</v>
      </c>
      <c r="J274" s="13">
        <v>44583</v>
      </c>
      <c r="K274" s="13">
        <v>276</v>
      </c>
      <c r="L274" s="12" t="s">
        <v>35</v>
      </c>
      <c r="M274" s="12" t="s">
        <v>35</v>
      </c>
      <c r="N274" s="12"/>
      <c r="O274" s="190" t="s">
        <v>17</v>
      </c>
      <c r="P274" s="30">
        <f t="shared" si="4"/>
        <v>6.6160796354604659E-2</v>
      </c>
      <c r="Q274" s="31"/>
      <c r="R274" s="31"/>
    </row>
    <row r="275" spans="1:18" s="58" customFormat="1" ht="15.75" hidden="1" customHeight="1">
      <c r="A275" s="12" t="s">
        <v>305</v>
      </c>
      <c r="B275" s="12" t="s">
        <v>14</v>
      </c>
      <c r="C275" s="98">
        <v>45573</v>
      </c>
      <c r="D275" s="12" t="s">
        <v>15</v>
      </c>
      <c r="E275" s="12" t="s">
        <v>19</v>
      </c>
      <c r="F275" s="13">
        <v>2110</v>
      </c>
      <c r="G275" s="13">
        <v>384</v>
      </c>
      <c r="H275" s="13">
        <v>236</v>
      </c>
      <c r="I275" s="13">
        <v>49965</v>
      </c>
      <c r="J275" s="13">
        <v>61555</v>
      </c>
      <c r="K275" s="13">
        <v>195</v>
      </c>
      <c r="L275" s="12" t="s">
        <v>20</v>
      </c>
      <c r="M275" s="12" t="s">
        <v>20</v>
      </c>
      <c r="N275" s="12"/>
      <c r="O275" s="69" t="s">
        <v>21</v>
      </c>
      <c r="P275" s="53">
        <f t="shared" si="4"/>
        <v>5.4638246772740921E-2</v>
      </c>
      <c r="Q275" s="31"/>
      <c r="R275" s="31"/>
    </row>
    <row r="276" spans="1:18" s="58" customFormat="1" ht="15.75" hidden="1" customHeight="1">
      <c r="A276" s="12" t="s">
        <v>306</v>
      </c>
      <c r="B276" s="12" t="s">
        <v>14</v>
      </c>
      <c r="C276" s="98">
        <v>45341</v>
      </c>
      <c r="D276" s="12" t="s">
        <v>15</v>
      </c>
      <c r="E276" s="12" t="s">
        <v>353</v>
      </c>
      <c r="F276" s="13">
        <v>4752</v>
      </c>
      <c r="G276" s="13">
        <v>449</v>
      </c>
      <c r="H276" s="13">
        <v>309</v>
      </c>
      <c r="I276" s="13">
        <v>58530</v>
      </c>
      <c r="J276" s="13">
        <v>26630</v>
      </c>
      <c r="K276" s="13">
        <v>234</v>
      </c>
      <c r="L276" s="12" t="s">
        <v>20</v>
      </c>
      <c r="M276" s="12" t="s">
        <v>20</v>
      </c>
      <c r="N276" s="12"/>
      <c r="O276" s="69" t="s">
        <v>21</v>
      </c>
      <c r="P276" s="53">
        <f t="shared" si="4"/>
        <v>9.4139757389372969E-2</v>
      </c>
      <c r="Q276" s="31"/>
      <c r="R276" s="31"/>
    </row>
    <row r="277" spans="1:18" s="58" customFormat="1" ht="15.75" customHeight="1">
      <c r="A277" s="12" t="s">
        <v>307</v>
      </c>
      <c r="B277" s="12" t="s">
        <v>23</v>
      </c>
      <c r="C277" s="98">
        <v>45720</v>
      </c>
      <c r="D277" s="187" t="s">
        <v>15</v>
      </c>
      <c r="E277" s="187" t="s">
        <v>16</v>
      </c>
      <c r="F277" s="13">
        <v>2177</v>
      </c>
      <c r="G277" s="13">
        <v>258</v>
      </c>
      <c r="H277" s="13">
        <v>292</v>
      </c>
      <c r="I277" s="13">
        <v>47276</v>
      </c>
      <c r="J277" s="13">
        <v>51324</v>
      </c>
      <c r="K277" s="13">
        <v>143</v>
      </c>
      <c r="L277" s="12" t="s">
        <v>35</v>
      </c>
      <c r="M277" s="12" t="s">
        <v>35</v>
      </c>
      <c r="N277" s="12"/>
      <c r="O277" s="190" t="s">
        <v>17</v>
      </c>
      <c r="P277" s="30">
        <f t="shared" si="4"/>
        <v>5.7682545054573146E-2</v>
      </c>
      <c r="Q277" s="31"/>
      <c r="R277" s="31"/>
    </row>
    <row r="278" spans="1:18" s="58" customFormat="1" ht="15.75" hidden="1" customHeight="1">
      <c r="A278" s="12" t="s">
        <v>308</v>
      </c>
      <c r="B278" s="12" t="s">
        <v>14</v>
      </c>
      <c r="C278" s="98">
        <v>45691</v>
      </c>
      <c r="D278" s="12" t="s">
        <v>24</v>
      </c>
      <c r="E278" s="12" t="s">
        <v>25</v>
      </c>
      <c r="F278" s="13">
        <v>1205</v>
      </c>
      <c r="G278" s="13">
        <v>486</v>
      </c>
      <c r="H278" s="13">
        <v>269</v>
      </c>
      <c r="I278" s="13">
        <v>23341</v>
      </c>
      <c r="J278" s="13">
        <v>42411</v>
      </c>
      <c r="K278" s="13">
        <v>184</v>
      </c>
      <c r="L278" s="12" t="s">
        <v>35</v>
      </c>
      <c r="M278" s="12" t="s">
        <v>35</v>
      </c>
      <c r="N278" s="12"/>
      <c r="O278" s="69" t="s">
        <v>47</v>
      </c>
      <c r="P278" s="53">
        <f t="shared" si="4"/>
        <v>8.3972409065592737E-2</v>
      </c>
      <c r="Q278" s="31"/>
      <c r="R278" s="31"/>
    </row>
    <row r="279" spans="1:18" s="58" customFormat="1" ht="15.75" customHeight="1">
      <c r="A279" s="12" t="s">
        <v>309</v>
      </c>
      <c r="B279" s="12" t="s">
        <v>14</v>
      </c>
      <c r="C279" s="98">
        <v>45628</v>
      </c>
      <c r="D279" s="187" t="s">
        <v>15</v>
      </c>
      <c r="E279" s="187" t="s">
        <v>34</v>
      </c>
      <c r="F279" s="13">
        <v>3194</v>
      </c>
      <c r="G279" s="13">
        <v>292</v>
      </c>
      <c r="H279" s="13">
        <v>245</v>
      </c>
      <c r="I279" s="13">
        <v>56371</v>
      </c>
      <c r="J279" s="13">
        <v>65597</v>
      </c>
      <c r="K279" s="13">
        <v>163</v>
      </c>
      <c r="L279" s="12" t="s">
        <v>370</v>
      </c>
      <c r="M279" s="12" t="s">
        <v>38</v>
      </c>
      <c r="N279" s="12" t="s">
        <v>35</v>
      </c>
      <c r="O279" s="190" t="s">
        <v>17</v>
      </c>
      <c r="P279" s="30">
        <f t="shared" si="4"/>
        <v>6.6186514342481059E-2</v>
      </c>
      <c r="Q279" s="31"/>
      <c r="R279" s="31"/>
    </row>
    <row r="280" spans="1:18" s="58" customFormat="1" ht="15.75" customHeight="1">
      <c r="A280" s="12" t="s">
        <v>310</v>
      </c>
      <c r="B280" s="12" t="s">
        <v>23</v>
      </c>
      <c r="C280" s="98">
        <v>45676</v>
      </c>
      <c r="D280" s="187" t="s">
        <v>24</v>
      </c>
      <c r="E280" s="187" t="s">
        <v>25</v>
      </c>
      <c r="F280" s="13">
        <v>3507</v>
      </c>
      <c r="G280" s="13">
        <v>295</v>
      </c>
      <c r="H280" s="13">
        <v>371</v>
      </c>
      <c r="I280" s="13">
        <v>20410</v>
      </c>
      <c r="J280" s="13">
        <v>53965</v>
      </c>
      <c r="K280" s="13">
        <v>212</v>
      </c>
      <c r="L280" s="12" t="s">
        <v>370</v>
      </c>
      <c r="M280" s="12" t="s">
        <v>38</v>
      </c>
      <c r="N280" s="12" t="s">
        <v>35</v>
      </c>
      <c r="O280" s="190" t="s">
        <v>17</v>
      </c>
      <c r="P280" s="30">
        <f t="shared" si="4"/>
        <v>0.20445859872611466</v>
      </c>
      <c r="Q280" s="31"/>
      <c r="R280" s="93"/>
    </row>
    <row r="281" spans="1:18" s="58" customFormat="1" ht="15.75" customHeight="1">
      <c r="A281" s="12" t="s">
        <v>311</v>
      </c>
      <c r="B281" s="12" t="s">
        <v>23</v>
      </c>
      <c r="C281" s="98">
        <v>45563</v>
      </c>
      <c r="D281" s="187" t="s">
        <v>24</v>
      </c>
      <c r="E281" s="187" t="s">
        <v>353</v>
      </c>
      <c r="F281" s="13">
        <v>4471</v>
      </c>
      <c r="G281" s="13">
        <v>317</v>
      </c>
      <c r="H281" s="13">
        <v>249</v>
      </c>
      <c r="I281" s="13">
        <v>44862</v>
      </c>
      <c r="J281" s="13">
        <v>33365</v>
      </c>
      <c r="K281" s="13">
        <v>184</v>
      </c>
      <c r="L281" s="12" t="s">
        <v>373</v>
      </c>
      <c r="M281" s="12" t="s">
        <v>20</v>
      </c>
      <c r="N281" s="12" t="s">
        <v>351</v>
      </c>
      <c r="O281" s="190" t="s">
        <v>17</v>
      </c>
      <c r="P281" s="30">
        <f t="shared" si="4"/>
        <v>0.1122776514644911</v>
      </c>
      <c r="Q281" s="31"/>
      <c r="R281" s="31"/>
    </row>
    <row r="282" spans="1:18" s="58" customFormat="1" ht="15.75" customHeight="1">
      <c r="A282" s="12" t="s">
        <v>312</v>
      </c>
      <c r="B282" s="12" t="s">
        <v>14</v>
      </c>
      <c r="C282" s="98">
        <v>45298</v>
      </c>
      <c r="D282" s="187" t="s">
        <v>15</v>
      </c>
      <c r="E282" s="187" t="s">
        <v>34</v>
      </c>
      <c r="F282" s="13">
        <v>4931</v>
      </c>
      <c r="G282" s="13">
        <v>469</v>
      </c>
      <c r="H282" s="13">
        <v>193</v>
      </c>
      <c r="I282" s="13">
        <v>56701</v>
      </c>
      <c r="J282" s="13">
        <v>69437</v>
      </c>
      <c r="K282" s="13">
        <v>291</v>
      </c>
      <c r="L282" s="12" t="s">
        <v>370</v>
      </c>
      <c r="M282" s="12" t="s">
        <v>38</v>
      </c>
      <c r="N282" s="12" t="s">
        <v>35</v>
      </c>
      <c r="O282" s="190" t="s">
        <v>17</v>
      </c>
      <c r="P282" s="30">
        <f t="shared" si="4"/>
        <v>9.8640235621946709E-2</v>
      </c>
      <c r="Q282" s="31"/>
      <c r="R282" s="31"/>
    </row>
    <row r="283" spans="1:18" s="58" customFormat="1" ht="15.75" customHeight="1">
      <c r="A283" s="12" t="s">
        <v>313</v>
      </c>
      <c r="B283" s="12" t="s">
        <v>23</v>
      </c>
      <c r="C283" s="98">
        <v>45343</v>
      </c>
      <c r="D283" s="187" t="s">
        <v>24</v>
      </c>
      <c r="E283" s="187" t="s">
        <v>31</v>
      </c>
      <c r="F283" s="13">
        <v>2604</v>
      </c>
      <c r="G283" s="13">
        <v>439</v>
      </c>
      <c r="H283" s="13">
        <v>148</v>
      </c>
      <c r="I283" s="13">
        <v>58468</v>
      </c>
      <c r="J283" s="13">
        <v>39629</v>
      </c>
      <c r="K283" s="13">
        <v>163</v>
      </c>
      <c r="L283" s="12" t="s">
        <v>371</v>
      </c>
      <c r="M283" s="12" t="s">
        <v>351</v>
      </c>
      <c r="N283" s="12" t="s">
        <v>35</v>
      </c>
      <c r="O283" s="190" t="s">
        <v>17</v>
      </c>
      <c r="P283" s="30">
        <f t="shared" si="4"/>
        <v>5.4576862557296296E-2</v>
      </c>
      <c r="Q283" s="31"/>
      <c r="R283" s="31"/>
    </row>
    <row r="284" spans="1:18" s="58" customFormat="1" ht="15.75" hidden="1" customHeight="1">
      <c r="A284" s="12" t="s">
        <v>314</v>
      </c>
      <c r="B284" s="12" t="s">
        <v>14</v>
      </c>
      <c r="C284" s="98">
        <v>45531</v>
      </c>
      <c r="D284" s="12" t="s">
        <v>15</v>
      </c>
      <c r="E284" s="12" t="s">
        <v>356</v>
      </c>
      <c r="F284" s="13">
        <v>4197</v>
      </c>
      <c r="G284" s="13">
        <v>359</v>
      </c>
      <c r="H284" s="13">
        <v>280</v>
      </c>
      <c r="I284" s="13">
        <v>56048</v>
      </c>
      <c r="J284" s="13">
        <v>70930</v>
      </c>
      <c r="K284" s="13">
        <v>295</v>
      </c>
      <c r="L284" s="12" t="s">
        <v>20</v>
      </c>
      <c r="M284" s="12" t="s">
        <v>20</v>
      </c>
      <c r="N284" s="12"/>
      <c r="O284" s="69" t="s">
        <v>21</v>
      </c>
      <c r="P284" s="53">
        <f t="shared" si="4"/>
        <v>8.628318584070796E-2</v>
      </c>
      <c r="Q284" s="31"/>
      <c r="R284" s="31"/>
    </row>
    <row r="285" spans="1:18" s="58" customFormat="1" ht="15.75" hidden="1" customHeight="1">
      <c r="A285" s="12" t="s">
        <v>315</v>
      </c>
      <c r="B285" s="12" t="s">
        <v>14</v>
      </c>
      <c r="C285" s="98">
        <v>45589</v>
      </c>
      <c r="D285" s="12" t="s">
        <v>24</v>
      </c>
      <c r="E285" s="12" t="s">
        <v>34</v>
      </c>
      <c r="F285" s="13">
        <v>1914</v>
      </c>
      <c r="G285" s="13">
        <v>255</v>
      </c>
      <c r="H285" s="13">
        <v>156</v>
      </c>
      <c r="I285" s="13">
        <v>27660</v>
      </c>
      <c r="J285" s="13">
        <v>47776</v>
      </c>
      <c r="K285" s="13">
        <v>111</v>
      </c>
      <c r="L285" s="12" t="s">
        <v>35</v>
      </c>
      <c r="M285" s="12" t="s">
        <v>35</v>
      </c>
      <c r="N285" s="12"/>
      <c r="O285" s="69" t="s">
        <v>47</v>
      </c>
      <c r="P285" s="53">
        <f t="shared" si="4"/>
        <v>8.4056399132321047E-2</v>
      </c>
      <c r="Q285" s="31"/>
      <c r="R285" s="31"/>
    </row>
    <row r="286" spans="1:18" s="58" customFormat="1" ht="15.75" hidden="1" customHeight="1">
      <c r="A286" s="12" t="s">
        <v>316</v>
      </c>
      <c r="B286" s="12" t="s">
        <v>28</v>
      </c>
      <c r="C286" s="98">
        <v>45686</v>
      </c>
      <c r="D286" s="12" t="s">
        <v>15</v>
      </c>
      <c r="E286" s="12" t="s">
        <v>25</v>
      </c>
      <c r="F286" s="13">
        <v>1334</v>
      </c>
      <c r="G286" s="13">
        <v>357</v>
      </c>
      <c r="H286" s="13">
        <v>257</v>
      </c>
      <c r="I286" s="13">
        <v>56910</v>
      </c>
      <c r="J286" s="13">
        <v>70606</v>
      </c>
      <c r="K286" s="13">
        <v>228</v>
      </c>
      <c r="L286" s="12" t="s">
        <v>372</v>
      </c>
      <c r="M286" s="12" t="s">
        <v>20</v>
      </c>
      <c r="N286" s="12" t="s">
        <v>352</v>
      </c>
      <c r="O286" s="69" t="s">
        <v>21</v>
      </c>
      <c r="P286" s="53">
        <f t="shared" si="4"/>
        <v>3.4229485151994379E-2</v>
      </c>
      <c r="Q286" s="31"/>
      <c r="R286" s="31"/>
    </row>
    <row r="287" spans="1:18" s="58" customFormat="1" ht="15.75" hidden="1" customHeight="1">
      <c r="A287" s="12" t="s">
        <v>317</v>
      </c>
      <c r="B287" s="12" t="s">
        <v>14</v>
      </c>
      <c r="C287" s="98">
        <v>45413</v>
      </c>
      <c r="D287" s="12" t="s">
        <v>15</v>
      </c>
      <c r="E287" s="12" t="s">
        <v>31</v>
      </c>
      <c r="F287" s="13">
        <v>3359</v>
      </c>
      <c r="G287" s="13">
        <v>137</v>
      </c>
      <c r="H287" s="13">
        <v>387</v>
      </c>
      <c r="I287" s="13">
        <v>33861</v>
      </c>
      <c r="J287" s="13">
        <v>47257</v>
      </c>
      <c r="K287" s="13">
        <v>198</v>
      </c>
      <c r="L287" s="12" t="s">
        <v>20</v>
      </c>
      <c r="M287" s="12" t="s">
        <v>20</v>
      </c>
      <c r="N287" s="12"/>
      <c r="O287" s="69" t="s">
        <v>21</v>
      </c>
      <c r="P287" s="53">
        <f t="shared" si="4"/>
        <v>0.11467469950680724</v>
      </c>
      <c r="Q287" s="31"/>
      <c r="R287" s="31"/>
    </row>
    <row r="288" spans="1:18" s="58" customFormat="1" ht="15.75" hidden="1" customHeight="1">
      <c r="A288" s="12" t="s">
        <v>318</v>
      </c>
      <c r="B288" s="12" t="s">
        <v>28</v>
      </c>
      <c r="C288" s="98">
        <v>45468</v>
      </c>
      <c r="D288" s="12" t="s">
        <v>15</v>
      </c>
      <c r="E288" s="12" t="s">
        <v>43</v>
      </c>
      <c r="F288" s="13">
        <v>2172</v>
      </c>
      <c r="G288" s="13">
        <v>338</v>
      </c>
      <c r="H288" s="13">
        <v>70</v>
      </c>
      <c r="I288" s="13">
        <v>30515</v>
      </c>
      <c r="J288" s="13">
        <v>57853</v>
      </c>
      <c r="K288" s="13">
        <v>156</v>
      </c>
      <c r="L288" s="12" t="s">
        <v>372</v>
      </c>
      <c r="M288" s="12" t="s">
        <v>20</v>
      </c>
      <c r="N288" s="12" t="s">
        <v>352</v>
      </c>
      <c r="O288" s="69" t="s">
        <v>21</v>
      </c>
      <c r="P288" s="53">
        <f t="shared" si="4"/>
        <v>8.4548582664263475E-2</v>
      </c>
      <c r="Q288" s="31"/>
      <c r="R288" s="31"/>
    </row>
    <row r="289" spans="1:19" ht="15.75" customHeight="1">
      <c r="A289" s="12" t="s">
        <v>319</v>
      </c>
      <c r="B289" s="12" t="s">
        <v>23</v>
      </c>
      <c r="C289" s="98">
        <v>45513</v>
      </c>
      <c r="D289" s="187" t="s">
        <v>24</v>
      </c>
      <c r="E289" s="187" t="s">
        <v>355</v>
      </c>
      <c r="F289" s="13">
        <v>4877</v>
      </c>
      <c r="G289" s="13">
        <v>442</v>
      </c>
      <c r="H289" s="13">
        <v>236</v>
      </c>
      <c r="I289" s="13">
        <v>52673</v>
      </c>
      <c r="J289" s="13">
        <v>48241</v>
      </c>
      <c r="K289" s="13">
        <v>114</v>
      </c>
      <c r="L289" s="12" t="s">
        <v>373</v>
      </c>
      <c r="M289" s="12" t="s">
        <v>20</v>
      </c>
      <c r="N289" s="12" t="s">
        <v>351</v>
      </c>
      <c r="O289" s="190" t="s">
        <v>17</v>
      </c>
      <c r="P289" s="30">
        <f t="shared" si="4"/>
        <v>0.10546200140489435</v>
      </c>
      <c r="R289" s="31"/>
      <c r="S289" s="58"/>
    </row>
    <row r="290" spans="1:19" ht="15.75" hidden="1" customHeight="1">
      <c r="A290" s="12" t="s">
        <v>320</v>
      </c>
      <c r="B290" s="12" t="s">
        <v>14</v>
      </c>
      <c r="C290" s="98">
        <v>45678</v>
      </c>
      <c r="D290" s="12" t="s">
        <v>24</v>
      </c>
      <c r="E290" s="12" t="s">
        <v>25</v>
      </c>
      <c r="F290" s="13">
        <v>4918</v>
      </c>
      <c r="G290" s="13">
        <v>440</v>
      </c>
      <c r="H290" s="13">
        <v>149</v>
      </c>
      <c r="I290" s="13">
        <v>53269</v>
      </c>
      <c r="J290" s="13">
        <v>64370</v>
      </c>
      <c r="K290" s="13">
        <v>269</v>
      </c>
      <c r="L290" s="12" t="s">
        <v>35</v>
      </c>
      <c r="M290" s="12" t="s">
        <v>35</v>
      </c>
      <c r="N290" s="12"/>
      <c r="O290" s="69" t="s">
        <v>47</v>
      </c>
      <c r="P290" s="53">
        <f t="shared" si="4"/>
        <v>0.10338095327488783</v>
      </c>
      <c r="R290" s="31"/>
      <c r="S290" s="58"/>
    </row>
    <row r="291" spans="1:19" ht="15.75" hidden="1" customHeight="1">
      <c r="A291" s="12" t="s">
        <v>321</v>
      </c>
      <c r="B291" s="12" t="s">
        <v>23</v>
      </c>
      <c r="C291" s="98">
        <v>45517</v>
      </c>
      <c r="D291" s="12" t="s">
        <v>15</v>
      </c>
      <c r="E291" s="12" t="s">
        <v>19</v>
      </c>
      <c r="F291" s="13">
        <v>3418</v>
      </c>
      <c r="G291" s="13">
        <v>107</v>
      </c>
      <c r="H291" s="13">
        <v>221</v>
      </c>
      <c r="I291" s="13">
        <v>23927</v>
      </c>
      <c r="J291" s="13">
        <v>26182</v>
      </c>
      <c r="K291" s="13">
        <v>155</v>
      </c>
      <c r="L291" s="12" t="s">
        <v>38</v>
      </c>
      <c r="M291" s="12" t="s">
        <v>38</v>
      </c>
      <c r="N291" s="12"/>
      <c r="O291" s="69" t="s">
        <v>21</v>
      </c>
      <c r="P291" s="53">
        <f t="shared" si="4"/>
        <v>0.1565595352530614</v>
      </c>
      <c r="R291" s="31"/>
      <c r="S291" s="58"/>
    </row>
    <row r="292" spans="1:19" ht="15.75" customHeight="1">
      <c r="A292" s="12" t="s">
        <v>322</v>
      </c>
      <c r="B292" s="12" t="s">
        <v>14</v>
      </c>
      <c r="C292" s="98">
        <v>45472</v>
      </c>
      <c r="D292" s="187" t="s">
        <v>15</v>
      </c>
      <c r="E292" s="187" t="s">
        <v>43</v>
      </c>
      <c r="F292" s="13">
        <v>2088</v>
      </c>
      <c r="G292" s="13">
        <v>490</v>
      </c>
      <c r="H292" s="13">
        <v>124</v>
      </c>
      <c r="I292" s="13">
        <v>46544</v>
      </c>
      <c r="J292" s="13">
        <v>69346</v>
      </c>
      <c r="K292" s="13">
        <v>178</v>
      </c>
      <c r="L292" s="12" t="s">
        <v>370</v>
      </c>
      <c r="M292" s="12" t="s">
        <v>38</v>
      </c>
      <c r="N292" s="12" t="s">
        <v>35</v>
      </c>
      <c r="O292" s="190" t="s">
        <v>17</v>
      </c>
      <c r="P292" s="30">
        <f t="shared" si="4"/>
        <v>5.8052595393606049E-2</v>
      </c>
      <c r="R292" s="31"/>
      <c r="S292" s="58"/>
    </row>
    <row r="293" spans="1:19" ht="15.75" customHeight="1">
      <c r="A293" s="12" t="s">
        <v>323</v>
      </c>
      <c r="B293" s="12" t="s">
        <v>23</v>
      </c>
      <c r="C293" s="98">
        <v>45599</v>
      </c>
      <c r="D293" s="187" t="s">
        <v>24</v>
      </c>
      <c r="E293" s="187" t="s">
        <v>19</v>
      </c>
      <c r="F293" s="13">
        <v>3061</v>
      </c>
      <c r="G293" s="13">
        <v>320</v>
      </c>
      <c r="H293" s="13">
        <v>76</v>
      </c>
      <c r="I293" s="13">
        <v>26640</v>
      </c>
      <c r="J293" s="13">
        <v>24306</v>
      </c>
      <c r="K293" s="13">
        <v>112</v>
      </c>
      <c r="L293" s="12" t="s">
        <v>371</v>
      </c>
      <c r="M293" s="12" t="s">
        <v>351</v>
      </c>
      <c r="N293" s="12" t="s">
        <v>35</v>
      </c>
      <c r="O293" s="190" t="s">
        <v>17</v>
      </c>
      <c r="P293" s="30">
        <f t="shared" si="4"/>
        <v>0.12976726726726726</v>
      </c>
      <c r="R293" s="31"/>
      <c r="S293" s="58"/>
    </row>
    <row r="294" spans="1:19" ht="15.75" hidden="1" customHeight="1">
      <c r="A294" s="12" t="s">
        <v>324</v>
      </c>
      <c r="B294" s="12" t="s">
        <v>28</v>
      </c>
      <c r="C294" s="98">
        <v>45765</v>
      </c>
      <c r="D294" s="12" t="s">
        <v>49</v>
      </c>
      <c r="E294" s="12" t="s">
        <v>43</v>
      </c>
      <c r="F294" s="13">
        <v>1265</v>
      </c>
      <c r="G294" s="13">
        <v>230</v>
      </c>
      <c r="H294" s="13">
        <v>364</v>
      </c>
      <c r="I294" s="13">
        <v>41312</v>
      </c>
      <c r="J294" s="13">
        <v>50382</v>
      </c>
      <c r="K294" s="13">
        <v>106</v>
      </c>
      <c r="L294" s="12" t="s">
        <v>374</v>
      </c>
      <c r="M294" s="12" t="s">
        <v>20</v>
      </c>
      <c r="N294" s="12" t="s">
        <v>38</v>
      </c>
      <c r="O294" s="69" t="s">
        <v>50</v>
      </c>
      <c r="P294" s="53">
        <f t="shared" si="4"/>
        <v>4.4999031758326875E-2</v>
      </c>
      <c r="R294" s="31"/>
      <c r="S294" s="58"/>
    </row>
    <row r="295" spans="1:19" ht="15.75" hidden="1" customHeight="1">
      <c r="A295" s="12" t="s">
        <v>325</v>
      </c>
      <c r="B295" s="12" t="s">
        <v>14</v>
      </c>
      <c r="C295" s="98">
        <v>45653</v>
      </c>
      <c r="D295" s="12" t="s">
        <v>15</v>
      </c>
      <c r="E295" s="12" t="s">
        <v>355</v>
      </c>
      <c r="F295" s="13">
        <v>1436</v>
      </c>
      <c r="G295" s="13">
        <v>219</v>
      </c>
      <c r="H295" s="13">
        <v>229</v>
      </c>
      <c r="I295" s="13">
        <v>58488</v>
      </c>
      <c r="J295" s="13">
        <v>24314</v>
      </c>
      <c r="K295" s="13">
        <v>147</v>
      </c>
      <c r="L295" s="12" t="s">
        <v>20</v>
      </c>
      <c r="M295" s="12" t="s">
        <v>20</v>
      </c>
      <c r="N295" s="12"/>
      <c r="O295" s="69" t="s">
        <v>21</v>
      </c>
      <c r="P295" s="53">
        <f t="shared" si="4"/>
        <v>3.221173574066475E-2</v>
      </c>
      <c r="R295" s="31"/>
      <c r="S295" s="58"/>
    </row>
    <row r="296" spans="1:19" ht="15.75" hidden="1" customHeight="1">
      <c r="A296" s="12" t="s">
        <v>326</v>
      </c>
      <c r="B296" s="12" t="s">
        <v>14</v>
      </c>
      <c r="C296" s="98">
        <v>45724</v>
      </c>
      <c r="D296" s="12" t="s">
        <v>24</v>
      </c>
      <c r="E296" s="12" t="s">
        <v>34</v>
      </c>
      <c r="F296" s="13">
        <v>2244</v>
      </c>
      <c r="G296" s="13">
        <v>392</v>
      </c>
      <c r="H296" s="13">
        <v>231</v>
      </c>
      <c r="I296" s="13">
        <v>25834</v>
      </c>
      <c r="J296" s="13">
        <v>50906</v>
      </c>
      <c r="K296" s="13">
        <v>165</v>
      </c>
      <c r="L296" s="12" t="s">
        <v>35</v>
      </c>
      <c r="M296" s="12" t="s">
        <v>35</v>
      </c>
      <c r="N296" s="12"/>
      <c r="O296" s="69" t="s">
        <v>47</v>
      </c>
      <c r="P296" s="53">
        <f t="shared" si="4"/>
        <v>0.1109777812185492</v>
      </c>
      <c r="R296" s="31"/>
      <c r="S296" s="58"/>
    </row>
    <row r="297" spans="1:19" ht="15.75" customHeight="1">
      <c r="A297" s="12" t="s">
        <v>327</v>
      </c>
      <c r="B297" s="12" t="s">
        <v>23</v>
      </c>
      <c r="C297" s="98">
        <v>45736</v>
      </c>
      <c r="D297" s="187" t="s">
        <v>24</v>
      </c>
      <c r="E297" s="187" t="s">
        <v>43</v>
      </c>
      <c r="F297" s="13">
        <v>3393</v>
      </c>
      <c r="G297" s="13">
        <v>104</v>
      </c>
      <c r="H297" s="13">
        <v>79</v>
      </c>
      <c r="I297" s="13">
        <v>30025</v>
      </c>
      <c r="J297" s="13">
        <v>21593</v>
      </c>
      <c r="K297" s="13">
        <v>165</v>
      </c>
      <c r="L297" s="12" t="s">
        <v>371</v>
      </c>
      <c r="M297" s="12" t="s">
        <v>351</v>
      </c>
      <c r="N297" s="12" t="s">
        <v>35</v>
      </c>
      <c r="O297" s="190" t="s">
        <v>17</v>
      </c>
      <c r="P297" s="30">
        <f t="shared" si="4"/>
        <v>0.1191007493755204</v>
      </c>
      <c r="R297" s="31"/>
      <c r="S297" s="58"/>
    </row>
    <row r="298" spans="1:19" ht="15.75" hidden="1" customHeight="1">
      <c r="A298" s="12" t="s">
        <v>328</v>
      </c>
      <c r="B298" s="12" t="s">
        <v>23</v>
      </c>
      <c r="C298" s="98">
        <v>45612</v>
      </c>
      <c r="D298" s="12" t="s">
        <v>15</v>
      </c>
      <c r="E298" s="12" t="s">
        <v>19</v>
      </c>
      <c r="F298" s="13">
        <v>2901</v>
      </c>
      <c r="G298" s="13">
        <v>108</v>
      </c>
      <c r="H298" s="13">
        <v>86</v>
      </c>
      <c r="I298" s="13">
        <v>51777</v>
      </c>
      <c r="J298" s="13">
        <v>23773</v>
      </c>
      <c r="K298" s="13">
        <v>160</v>
      </c>
      <c r="L298" s="12" t="s">
        <v>38</v>
      </c>
      <c r="M298" s="12" t="s">
        <v>38</v>
      </c>
      <c r="N298" s="12"/>
      <c r="O298" s="69" t="s">
        <v>21</v>
      </c>
      <c r="P298" s="53">
        <f t="shared" si="4"/>
        <v>5.9775576027966085E-2</v>
      </c>
      <c r="R298" s="31"/>
      <c r="S298" s="58"/>
    </row>
    <row r="299" spans="1:19" ht="15.75" customHeight="1">
      <c r="A299" s="12" t="s">
        <v>329</v>
      </c>
      <c r="B299" s="12" t="s">
        <v>23</v>
      </c>
      <c r="C299" s="98">
        <v>45838</v>
      </c>
      <c r="D299" s="187" t="s">
        <v>15</v>
      </c>
      <c r="E299" s="187" t="s">
        <v>354</v>
      </c>
      <c r="F299" s="13">
        <v>2275</v>
      </c>
      <c r="G299" s="13">
        <v>285</v>
      </c>
      <c r="H299" s="13">
        <v>125</v>
      </c>
      <c r="I299" s="13">
        <v>43970</v>
      </c>
      <c r="J299" s="13">
        <v>74761</v>
      </c>
      <c r="K299" s="13">
        <v>83</v>
      </c>
      <c r="L299" s="12" t="s">
        <v>35</v>
      </c>
      <c r="M299" s="12" t="s">
        <v>35</v>
      </c>
      <c r="N299" s="12"/>
      <c r="O299" s="190" t="s">
        <v>17</v>
      </c>
      <c r="P299" s="30">
        <f t="shared" si="4"/>
        <v>6.1064362065044349E-2</v>
      </c>
      <c r="R299" s="31"/>
      <c r="S299" s="58"/>
    </row>
    <row r="300" spans="1:19" ht="15.75" customHeight="1">
      <c r="A300" s="12" t="s">
        <v>330</v>
      </c>
      <c r="B300" s="12" t="s">
        <v>23</v>
      </c>
      <c r="C300" s="98">
        <v>45303</v>
      </c>
      <c r="D300" s="187" t="s">
        <v>24</v>
      </c>
      <c r="E300" s="187" t="s">
        <v>353</v>
      </c>
      <c r="F300" s="13">
        <v>2227</v>
      </c>
      <c r="G300" s="13">
        <v>494</v>
      </c>
      <c r="H300" s="13">
        <v>161</v>
      </c>
      <c r="I300" s="13">
        <v>51651</v>
      </c>
      <c r="J300" s="13">
        <v>68074</v>
      </c>
      <c r="K300" s="13">
        <v>240</v>
      </c>
      <c r="L300" s="12" t="s">
        <v>373</v>
      </c>
      <c r="M300" s="12" t="s">
        <v>20</v>
      </c>
      <c r="N300" s="12" t="s">
        <v>351</v>
      </c>
      <c r="O300" s="190" t="s">
        <v>17</v>
      </c>
      <c r="P300" s="30">
        <f t="shared" si="4"/>
        <v>5.5797564422760453E-2</v>
      </c>
      <c r="R300" s="31"/>
      <c r="S300" s="58"/>
    </row>
    <row r="301" spans="1:19" ht="15.75" customHeight="1">
      <c r="A301" s="12" t="s">
        <v>331</v>
      </c>
      <c r="B301" s="12" t="s">
        <v>14</v>
      </c>
      <c r="C301" s="98">
        <v>45329</v>
      </c>
      <c r="D301" s="187" t="s">
        <v>15</v>
      </c>
      <c r="E301" s="187" t="s">
        <v>356</v>
      </c>
      <c r="F301" s="13">
        <v>1883</v>
      </c>
      <c r="G301" s="13">
        <v>432</v>
      </c>
      <c r="H301" s="13">
        <v>397</v>
      </c>
      <c r="I301" s="13">
        <v>28759</v>
      </c>
      <c r="J301" s="13">
        <v>18691</v>
      </c>
      <c r="K301" s="13">
        <v>270</v>
      </c>
      <c r="L301" s="12" t="s">
        <v>370</v>
      </c>
      <c r="M301" s="12" t="s">
        <v>38</v>
      </c>
      <c r="N301" s="12" t="s">
        <v>35</v>
      </c>
      <c r="O301" s="190" t="s">
        <v>17</v>
      </c>
      <c r="P301" s="30">
        <f t="shared" si="4"/>
        <v>9.4300914496331587E-2</v>
      </c>
      <c r="R301" s="31"/>
      <c r="S301" s="58"/>
    </row>
    <row r="302" spans="1:19" ht="15.75" hidden="1" customHeight="1">
      <c r="D302" s="58"/>
      <c r="E302" s="58"/>
      <c r="O302" s="70"/>
      <c r="P302" s="53">
        <f>AVERAGE(P20:P292)</f>
        <v>9.2544531765860361E-2</v>
      </c>
      <c r="R302" s="31"/>
      <c r="S302" s="58"/>
    </row>
    <row r="303" spans="1:19" ht="15.75" customHeight="1">
      <c r="O303" s="191"/>
    </row>
    <row r="304" spans="1:19" ht="15.75" customHeight="1">
      <c r="O304" s="191"/>
    </row>
    <row r="305" spans="15:15" ht="15.75" customHeight="1">
      <c r="O305" s="191"/>
    </row>
    <row r="306" spans="15:15" ht="15.75" customHeight="1">
      <c r="O306" s="191"/>
    </row>
    <row r="307" spans="15:15" ht="15.75" customHeight="1">
      <c r="O307" s="191"/>
    </row>
    <row r="308" spans="15:15" ht="15.75" customHeight="1">
      <c r="O308" s="191"/>
    </row>
    <row r="309" spans="15:15" ht="15.75" customHeight="1">
      <c r="O309" s="191"/>
    </row>
    <row r="310" spans="15:15" ht="15.75" customHeight="1">
      <c r="O310" s="191"/>
    </row>
    <row r="311" spans="15:15" ht="15.75" customHeight="1">
      <c r="O311" s="191"/>
    </row>
    <row r="312" spans="15:15" ht="15.75" customHeight="1">
      <c r="O312" s="191"/>
    </row>
    <row r="313" spans="15:15" ht="15.75" customHeight="1">
      <c r="O313" s="191"/>
    </row>
    <row r="314" spans="15:15" ht="15.75" customHeight="1">
      <c r="O314" s="191"/>
    </row>
    <row r="315" spans="15:15" ht="15.75" customHeight="1">
      <c r="O315" s="191"/>
    </row>
    <row r="316" spans="15:15" ht="15.75" customHeight="1">
      <c r="O316" s="191"/>
    </row>
    <row r="317" spans="15:15" ht="15.75" customHeight="1">
      <c r="O317" s="191"/>
    </row>
    <row r="318" spans="15:15" ht="15.75" customHeight="1">
      <c r="O318" s="191"/>
    </row>
    <row r="319" spans="15:15" ht="15.75" customHeight="1">
      <c r="O319" s="191"/>
    </row>
    <row r="320" spans="15:15" ht="15.75" customHeight="1">
      <c r="O320" s="191"/>
    </row>
    <row r="321" spans="15:15" ht="15.75" customHeight="1">
      <c r="O321" s="191"/>
    </row>
    <row r="322" spans="15:15" ht="15.75" customHeight="1">
      <c r="O322" s="191"/>
    </row>
    <row r="323" spans="15:15" ht="15.75" customHeight="1">
      <c r="O323" s="191"/>
    </row>
    <row r="324" spans="15:15" ht="15.75" customHeight="1">
      <c r="O324" s="191"/>
    </row>
    <row r="325" spans="15:15" ht="15.75" customHeight="1">
      <c r="O325" s="191"/>
    </row>
    <row r="326" spans="15:15" ht="15.75" customHeight="1">
      <c r="O326" s="191"/>
    </row>
    <row r="327" spans="15:15" ht="15.75" customHeight="1">
      <c r="O327" s="191"/>
    </row>
    <row r="328" spans="15:15" ht="15.75" customHeight="1">
      <c r="O328" s="191"/>
    </row>
    <row r="329" spans="15:15" ht="15.75" customHeight="1">
      <c r="O329" s="191"/>
    </row>
    <row r="330" spans="15:15" ht="15.75" customHeight="1">
      <c r="O330" s="191"/>
    </row>
    <row r="331" spans="15:15" ht="15.75" customHeight="1">
      <c r="O331" s="191"/>
    </row>
    <row r="332" spans="15:15" ht="15.75" customHeight="1">
      <c r="O332" s="191"/>
    </row>
    <row r="333" spans="15:15" ht="15.75" customHeight="1">
      <c r="O333" s="191"/>
    </row>
    <row r="334" spans="15:15" ht="15.75" customHeight="1">
      <c r="O334" s="191"/>
    </row>
    <row r="335" spans="15:15" ht="15.75" customHeight="1">
      <c r="O335" s="191"/>
    </row>
    <row r="336" spans="15:15" ht="15.75" customHeight="1">
      <c r="O336" s="191"/>
    </row>
    <row r="337" spans="15:15" ht="15.75" customHeight="1">
      <c r="O337" s="191"/>
    </row>
    <row r="338" spans="15:15" ht="15.75" customHeight="1">
      <c r="O338" s="191"/>
    </row>
    <row r="339" spans="15:15" ht="15.75" customHeight="1">
      <c r="O339" s="191"/>
    </row>
    <row r="340" spans="15:15" ht="15.75" customHeight="1">
      <c r="O340" s="191"/>
    </row>
    <row r="341" spans="15:15" ht="15.75" customHeight="1">
      <c r="O341" s="191"/>
    </row>
    <row r="342" spans="15:15" ht="15.75" customHeight="1">
      <c r="O342" s="191"/>
    </row>
    <row r="343" spans="15:15" ht="15.75" customHeight="1">
      <c r="O343" s="191"/>
    </row>
    <row r="344" spans="15:15" ht="15.75" customHeight="1">
      <c r="O344" s="191"/>
    </row>
    <row r="345" spans="15:15" ht="15.75" customHeight="1">
      <c r="O345" s="191"/>
    </row>
    <row r="346" spans="15:15" ht="15.75" customHeight="1">
      <c r="O346" s="191"/>
    </row>
    <row r="347" spans="15:15" ht="15.75" customHeight="1">
      <c r="O347" s="191"/>
    </row>
    <row r="348" spans="15:15" ht="15.75" customHeight="1">
      <c r="O348" s="191"/>
    </row>
    <row r="349" spans="15:15" ht="15.75" customHeight="1">
      <c r="O349" s="191"/>
    </row>
    <row r="350" spans="15:15" ht="15.75" customHeight="1">
      <c r="O350" s="191"/>
    </row>
    <row r="351" spans="15:15" ht="15.75" customHeight="1">
      <c r="O351" s="191"/>
    </row>
    <row r="352" spans="15:15" ht="15.75" customHeight="1">
      <c r="O352" s="191"/>
    </row>
    <row r="353" spans="15:15" ht="15.75" customHeight="1">
      <c r="O353" s="191"/>
    </row>
    <row r="354" spans="15:15" ht="15.75" customHeight="1">
      <c r="O354" s="191"/>
    </row>
    <row r="355" spans="15:15" ht="15.75" customHeight="1">
      <c r="O355" s="191"/>
    </row>
    <row r="356" spans="15:15" ht="15.75" customHeight="1">
      <c r="O356" s="191"/>
    </row>
    <row r="357" spans="15:15" ht="15.75" customHeight="1">
      <c r="O357" s="191"/>
    </row>
    <row r="358" spans="15:15" ht="15.75" customHeight="1">
      <c r="O358" s="191"/>
    </row>
    <row r="359" spans="15:15" ht="15.75" customHeight="1">
      <c r="O359" s="191"/>
    </row>
    <row r="360" spans="15:15" ht="15.75" customHeight="1">
      <c r="O360" s="191"/>
    </row>
    <row r="361" spans="15:15" ht="15.75" customHeight="1">
      <c r="O361" s="191"/>
    </row>
    <row r="362" spans="15:15" ht="15.75" customHeight="1">
      <c r="O362" s="191"/>
    </row>
    <row r="363" spans="15:15" ht="15.75" customHeight="1">
      <c r="O363" s="191"/>
    </row>
    <row r="364" spans="15:15" ht="15.75" customHeight="1">
      <c r="O364" s="191"/>
    </row>
    <row r="365" spans="15:15" ht="15.75" customHeight="1">
      <c r="O365" s="191"/>
    </row>
    <row r="366" spans="15:15" ht="15.75" customHeight="1">
      <c r="O366" s="191"/>
    </row>
    <row r="367" spans="15:15" ht="15.75" customHeight="1">
      <c r="O367" s="191"/>
    </row>
    <row r="368" spans="15:15" ht="15.75" customHeight="1">
      <c r="O368" s="191"/>
    </row>
    <row r="369" spans="15:15" ht="15.75" customHeight="1">
      <c r="O369" s="191"/>
    </row>
    <row r="370" spans="15:15" ht="15.75" customHeight="1">
      <c r="O370" s="191"/>
    </row>
    <row r="371" spans="15:15" ht="15.75" customHeight="1">
      <c r="O371" s="191"/>
    </row>
    <row r="372" spans="15:15" ht="15.75" customHeight="1">
      <c r="O372" s="191"/>
    </row>
    <row r="373" spans="15:15" ht="15.75" customHeight="1">
      <c r="O373" s="191"/>
    </row>
    <row r="374" spans="15:15" ht="15.75" customHeight="1">
      <c r="O374" s="191"/>
    </row>
    <row r="375" spans="15:15" ht="15.75" customHeight="1">
      <c r="O375" s="191"/>
    </row>
    <row r="376" spans="15:15" ht="15.75" customHeight="1">
      <c r="O376" s="191"/>
    </row>
    <row r="377" spans="15:15" ht="15.75" customHeight="1">
      <c r="O377" s="191"/>
    </row>
    <row r="378" spans="15:15" ht="15.75" customHeight="1">
      <c r="O378" s="191"/>
    </row>
    <row r="379" spans="15:15" ht="15.75" customHeight="1">
      <c r="O379" s="191"/>
    </row>
    <row r="380" spans="15:15" ht="15.75" customHeight="1">
      <c r="O380" s="191"/>
    </row>
    <row r="381" spans="15:15" ht="15.75" customHeight="1">
      <c r="O381" s="191"/>
    </row>
    <row r="382" spans="15:15" ht="15.75" customHeight="1">
      <c r="O382" s="191"/>
    </row>
    <row r="383" spans="15:15" ht="15.75" customHeight="1">
      <c r="O383" s="191"/>
    </row>
    <row r="384" spans="15:15" ht="15.75" customHeight="1">
      <c r="O384" s="191"/>
    </row>
    <row r="385" spans="15:15" ht="15.75" customHeight="1">
      <c r="O385" s="191"/>
    </row>
    <row r="386" spans="15:15" ht="15.75" customHeight="1">
      <c r="O386" s="191"/>
    </row>
    <row r="387" spans="15:15" ht="15.75" customHeight="1">
      <c r="O387" s="191"/>
    </row>
    <row r="388" spans="15:15" ht="15.75" customHeight="1">
      <c r="O388" s="191"/>
    </row>
    <row r="389" spans="15:15" ht="15.75" customHeight="1">
      <c r="O389" s="191"/>
    </row>
    <row r="390" spans="15:15" ht="15.75" customHeight="1">
      <c r="O390" s="191"/>
    </row>
    <row r="391" spans="15:15" ht="15.75" customHeight="1">
      <c r="O391" s="191"/>
    </row>
    <row r="392" spans="15:15" ht="15.75" customHeight="1">
      <c r="O392" s="191"/>
    </row>
    <row r="393" spans="15:15" ht="15.75" customHeight="1">
      <c r="O393" s="191"/>
    </row>
    <row r="394" spans="15:15" ht="15.75" customHeight="1">
      <c r="O394" s="191"/>
    </row>
    <row r="395" spans="15:15" ht="15.75" customHeight="1">
      <c r="O395" s="191"/>
    </row>
    <row r="396" spans="15:15" ht="15.75" customHeight="1">
      <c r="O396" s="191"/>
    </row>
    <row r="397" spans="15:15" ht="15.75" customHeight="1">
      <c r="O397" s="191"/>
    </row>
    <row r="398" spans="15:15" ht="15.75" customHeight="1">
      <c r="O398" s="191"/>
    </row>
    <row r="399" spans="15:15" ht="15.75" customHeight="1">
      <c r="O399" s="191"/>
    </row>
    <row r="400" spans="15:15" ht="15.75" customHeight="1">
      <c r="O400" s="191"/>
    </row>
    <row r="401" spans="15:15" ht="15.75" customHeight="1">
      <c r="O401" s="191"/>
    </row>
    <row r="402" spans="15:15" ht="15.75" customHeight="1">
      <c r="O402" s="191"/>
    </row>
    <row r="403" spans="15:15" ht="15.75" customHeight="1">
      <c r="O403" s="191"/>
    </row>
    <row r="404" spans="15:15" ht="15.75" customHeight="1">
      <c r="O404" s="191"/>
    </row>
    <row r="405" spans="15:15" ht="15.75" customHeight="1">
      <c r="O405" s="191"/>
    </row>
    <row r="406" spans="15:15" ht="15.75" customHeight="1">
      <c r="O406" s="191"/>
    </row>
    <row r="407" spans="15:15" ht="15.75" customHeight="1">
      <c r="O407" s="191"/>
    </row>
    <row r="408" spans="15:15" ht="15.75" customHeight="1">
      <c r="O408" s="191"/>
    </row>
    <row r="409" spans="15:15" ht="15.75" customHeight="1">
      <c r="O409" s="191"/>
    </row>
    <row r="410" spans="15:15" ht="15.75" customHeight="1">
      <c r="O410" s="191"/>
    </row>
    <row r="411" spans="15:15" ht="15.75" customHeight="1">
      <c r="O411" s="191"/>
    </row>
    <row r="412" spans="15:15" ht="15.75" customHeight="1">
      <c r="O412" s="191"/>
    </row>
    <row r="413" spans="15:15" ht="15.75" customHeight="1">
      <c r="O413" s="191"/>
    </row>
    <row r="414" spans="15:15" ht="15.75" customHeight="1">
      <c r="O414" s="191"/>
    </row>
    <row r="415" spans="15:15" ht="15.75" customHeight="1">
      <c r="O415" s="191"/>
    </row>
    <row r="416" spans="15:15" ht="15.75" customHeight="1">
      <c r="O416" s="191"/>
    </row>
    <row r="417" spans="15:15" ht="15.75" customHeight="1">
      <c r="O417" s="191"/>
    </row>
    <row r="418" spans="15:15" ht="15.75" customHeight="1">
      <c r="O418" s="191"/>
    </row>
    <row r="419" spans="15:15" ht="15.75" customHeight="1">
      <c r="O419" s="191"/>
    </row>
    <row r="420" spans="15:15" ht="15.75" customHeight="1">
      <c r="O420" s="191"/>
    </row>
    <row r="421" spans="15:15" ht="15.75" customHeight="1">
      <c r="O421" s="191"/>
    </row>
    <row r="422" spans="15:15" ht="15.75" customHeight="1">
      <c r="O422" s="191"/>
    </row>
    <row r="423" spans="15:15" ht="15.75" customHeight="1">
      <c r="O423" s="191"/>
    </row>
    <row r="424" spans="15:15" ht="15.75" customHeight="1">
      <c r="O424" s="191"/>
    </row>
    <row r="425" spans="15:15" ht="15.75" customHeight="1">
      <c r="O425" s="191"/>
    </row>
    <row r="426" spans="15:15" ht="15.75" customHeight="1">
      <c r="O426" s="191"/>
    </row>
    <row r="427" spans="15:15" ht="15.75" customHeight="1">
      <c r="O427" s="191"/>
    </row>
    <row r="428" spans="15:15" ht="15.75" customHeight="1">
      <c r="O428" s="191"/>
    </row>
    <row r="429" spans="15:15" ht="15.75" customHeight="1">
      <c r="O429" s="191"/>
    </row>
    <row r="430" spans="15:15" ht="15.75" customHeight="1">
      <c r="O430" s="191"/>
    </row>
    <row r="431" spans="15:15" ht="15.75" customHeight="1">
      <c r="O431" s="191"/>
    </row>
    <row r="432" spans="15:15" ht="15.75" customHeight="1">
      <c r="O432" s="191"/>
    </row>
    <row r="433" spans="15:15" ht="15.75" customHeight="1">
      <c r="O433" s="191"/>
    </row>
    <row r="434" spans="15:15" ht="15.75" customHeight="1">
      <c r="O434" s="191"/>
    </row>
    <row r="435" spans="15:15" ht="15.75" customHeight="1">
      <c r="O435" s="191"/>
    </row>
    <row r="436" spans="15:15" ht="15.75" customHeight="1">
      <c r="O436" s="191"/>
    </row>
    <row r="437" spans="15:15" ht="15.75" customHeight="1">
      <c r="O437" s="191"/>
    </row>
    <row r="438" spans="15:15" ht="15.75" customHeight="1">
      <c r="O438" s="191"/>
    </row>
    <row r="439" spans="15:15" ht="15.75" customHeight="1">
      <c r="O439" s="191"/>
    </row>
    <row r="440" spans="15:15" ht="15.75" customHeight="1">
      <c r="O440" s="191"/>
    </row>
    <row r="441" spans="15:15" ht="15.75" customHeight="1">
      <c r="O441" s="191"/>
    </row>
    <row r="442" spans="15:15" ht="15.75" customHeight="1">
      <c r="O442" s="191"/>
    </row>
    <row r="443" spans="15:15" ht="15.75" customHeight="1">
      <c r="O443" s="191"/>
    </row>
    <row r="444" spans="15:15" ht="15.75" customHeight="1">
      <c r="O444" s="191"/>
    </row>
    <row r="445" spans="15:15" ht="15.75" customHeight="1">
      <c r="O445" s="191"/>
    </row>
    <row r="446" spans="15:15" ht="15.75" customHeight="1">
      <c r="O446" s="191"/>
    </row>
    <row r="447" spans="15:15" ht="15.75" customHeight="1">
      <c r="O447" s="191"/>
    </row>
    <row r="448" spans="15:15" ht="15.75" customHeight="1">
      <c r="O448" s="191"/>
    </row>
    <row r="449" spans="15:15" ht="15.75" customHeight="1">
      <c r="O449" s="191"/>
    </row>
    <row r="450" spans="15:15" ht="15.75" customHeight="1">
      <c r="O450" s="191"/>
    </row>
    <row r="451" spans="15:15" ht="15.75" customHeight="1">
      <c r="O451" s="191"/>
    </row>
    <row r="452" spans="15:15" ht="15.75" customHeight="1">
      <c r="O452" s="191"/>
    </row>
    <row r="453" spans="15:15" ht="15.75" customHeight="1">
      <c r="O453" s="191"/>
    </row>
    <row r="454" spans="15:15" ht="15.75" customHeight="1">
      <c r="O454" s="191"/>
    </row>
    <row r="455" spans="15:15" ht="15.75" customHeight="1">
      <c r="O455" s="191"/>
    </row>
    <row r="456" spans="15:15" ht="15.75" customHeight="1">
      <c r="O456" s="191"/>
    </row>
    <row r="457" spans="15:15" ht="15.75" customHeight="1">
      <c r="O457" s="191"/>
    </row>
    <row r="458" spans="15:15" ht="15.75" customHeight="1">
      <c r="O458" s="191"/>
    </row>
    <row r="459" spans="15:15" ht="15.75" customHeight="1">
      <c r="O459" s="191"/>
    </row>
    <row r="460" spans="15:15" ht="15.75" customHeight="1">
      <c r="O460" s="191"/>
    </row>
    <row r="461" spans="15:15" ht="15.75" customHeight="1">
      <c r="O461" s="191"/>
    </row>
    <row r="462" spans="15:15" ht="15.75" customHeight="1">
      <c r="O462" s="191"/>
    </row>
    <row r="463" spans="15:15" ht="15.75" customHeight="1">
      <c r="O463" s="191"/>
    </row>
    <row r="464" spans="15:15" ht="15.75" customHeight="1">
      <c r="O464" s="191"/>
    </row>
    <row r="465" spans="15:15" ht="15.75" customHeight="1">
      <c r="O465" s="191"/>
    </row>
    <row r="466" spans="15:15" ht="15.75" customHeight="1">
      <c r="O466" s="191"/>
    </row>
    <row r="467" spans="15:15" ht="15.75" customHeight="1">
      <c r="O467" s="191"/>
    </row>
    <row r="468" spans="15:15" ht="15.75" customHeight="1">
      <c r="O468" s="191"/>
    </row>
    <row r="469" spans="15:15" ht="15.75" customHeight="1">
      <c r="O469" s="191"/>
    </row>
    <row r="470" spans="15:15" ht="15.75" customHeight="1">
      <c r="O470" s="191"/>
    </row>
    <row r="471" spans="15:15" ht="15.75" customHeight="1">
      <c r="O471" s="191"/>
    </row>
    <row r="472" spans="15:15" ht="15.75" customHeight="1">
      <c r="O472" s="191"/>
    </row>
    <row r="473" spans="15:15" ht="15.75" customHeight="1">
      <c r="O473" s="191"/>
    </row>
    <row r="474" spans="15:15" ht="15.75" customHeight="1">
      <c r="O474" s="191"/>
    </row>
    <row r="475" spans="15:15" ht="15.75" customHeight="1">
      <c r="O475" s="191"/>
    </row>
    <row r="476" spans="15:15" ht="15.75" customHeight="1">
      <c r="O476" s="191"/>
    </row>
    <row r="477" spans="15:15" ht="15.75" customHeight="1">
      <c r="O477" s="191"/>
    </row>
    <row r="478" spans="15:15" ht="15.75" customHeight="1">
      <c r="O478" s="191"/>
    </row>
    <row r="479" spans="15:15" ht="15.75" customHeight="1">
      <c r="O479" s="191"/>
    </row>
    <row r="480" spans="15:15" ht="15.75" customHeight="1">
      <c r="O480" s="191"/>
    </row>
    <row r="481" spans="15:15" ht="15.75" customHeight="1">
      <c r="O481" s="191"/>
    </row>
    <row r="482" spans="15:15" ht="15.75" customHeight="1">
      <c r="O482" s="191"/>
    </row>
    <row r="483" spans="15:15" ht="15.75" customHeight="1">
      <c r="O483" s="191"/>
    </row>
    <row r="484" spans="15:15" ht="15.75" customHeight="1">
      <c r="O484" s="191"/>
    </row>
    <row r="485" spans="15:15" ht="15.75" customHeight="1">
      <c r="O485" s="191"/>
    </row>
    <row r="486" spans="15:15" ht="15.75" customHeight="1">
      <c r="O486" s="191"/>
    </row>
    <row r="487" spans="15:15" ht="15.75" customHeight="1">
      <c r="O487" s="191"/>
    </row>
    <row r="488" spans="15:15" ht="15.75" customHeight="1">
      <c r="O488" s="191"/>
    </row>
    <row r="489" spans="15:15" ht="15.75" customHeight="1">
      <c r="O489" s="191"/>
    </row>
    <row r="490" spans="15:15" ht="15.75" customHeight="1">
      <c r="O490" s="191"/>
    </row>
    <row r="491" spans="15:15" ht="15.75" customHeight="1">
      <c r="O491" s="191"/>
    </row>
    <row r="492" spans="15:15" ht="15.75" customHeight="1">
      <c r="O492" s="191"/>
    </row>
    <row r="493" spans="15:15" ht="15.75" customHeight="1">
      <c r="O493" s="191"/>
    </row>
    <row r="494" spans="15:15" ht="15.75" customHeight="1">
      <c r="O494" s="191"/>
    </row>
    <row r="495" spans="15:15" ht="15.75" customHeight="1">
      <c r="O495" s="191"/>
    </row>
    <row r="496" spans="15:15" ht="15.75" customHeight="1">
      <c r="O496" s="191"/>
    </row>
    <row r="497" spans="15:15" ht="15.75" customHeight="1">
      <c r="O497" s="191"/>
    </row>
    <row r="498" spans="15:15" ht="15.75" customHeight="1">
      <c r="O498" s="191"/>
    </row>
    <row r="499" spans="15:15" ht="15.75" customHeight="1">
      <c r="O499" s="191"/>
    </row>
    <row r="500" spans="15:15" ht="15.75" customHeight="1">
      <c r="O500" s="191"/>
    </row>
    <row r="501" spans="15:15" ht="15.75" customHeight="1">
      <c r="O501" s="191"/>
    </row>
    <row r="502" spans="15:15" ht="15.75" customHeight="1">
      <c r="O502" s="191"/>
    </row>
    <row r="503" spans="15:15" ht="15.75" customHeight="1">
      <c r="O503" s="191"/>
    </row>
    <row r="504" spans="15:15" ht="15.75" customHeight="1">
      <c r="O504" s="191"/>
    </row>
    <row r="505" spans="15:15" ht="15.75" customHeight="1">
      <c r="O505" s="191"/>
    </row>
    <row r="506" spans="15:15" ht="15.75" customHeight="1">
      <c r="O506" s="191"/>
    </row>
    <row r="507" spans="15:15" ht="15.75" customHeight="1">
      <c r="O507" s="191"/>
    </row>
    <row r="508" spans="15:15" ht="15.75" customHeight="1">
      <c r="O508" s="191"/>
    </row>
    <row r="509" spans="15:15" ht="15.75" customHeight="1">
      <c r="O509" s="191"/>
    </row>
    <row r="510" spans="15:15" ht="15.75" customHeight="1">
      <c r="O510" s="191"/>
    </row>
    <row r="511" spans="15:15" ht="15.75" customHeight="1">
      <c r="O511" s="191"/>
    </row>
    <row r="512" spans="15:15" ht="15.75" customHeight="1">
      <c r="O512" s="191"/>
    </row>
    <row r="513" spans="15:15" ht="15.75" customHeight="1">
      <c r="O513" s="191"/>
    </row>
    <row r="514" spans="15:15" ht="15.75" customHeight="1">
      <c r="O514" s="191"/>
    </row>
    <row r="515" spans="15:15" ht="15.75" customHeight="1">
      <c r="O515" s="191"/>
    </row>
    <row r="516" spans="15:15" ht="15.75" customHeight="1">
      <c r="O516" s="191"/>
    </row>
    <row r="517" spans="15:15" ht="15.75" customHeight="1">
      <c r="O517" s="191"/>
    </row>
    <row r="518" spans="15:15" ht="15.75" customHeight="1">
      <c r="O518" s="191"/>
    </row>
    <row r="519" spans="15:15" ht="15.75" customHeight="1">
      <c r="O519" s="191"/>
    </row>
    <row r="520" spans="15:15" ht="15.75" customHeight="1">
      <c r="O520" s="191"/>
    </row>
    <row r="521" spans="15:15" ht="15.75" customHeight="1">
      <c r="O521" s="191"/>
    </row>
    <row r="522" spans="15:15" ht="15.75" customHeight="1">
      <c r="O522" s="191"/>
    </row>
    <row r="523" spans="15:15" ht="15.75" customHeight="1">
      <c r="O523" s="191"/>
    </row>
    <row r="524" spans="15:15" ht="15.75" customHeight="1">
      <c r="O524" s="191"/>
    </row>
    <row r="525" spans="15:15" ht="15.75" customHeight="1">
      <c r="O525" s="191"/>
    </row>
    <row r="526" spans="15:15" ht="15.75" customHeight="1">
      <c r="O526" s="191"/>
    </row>
    <row r="527" spans="15:15" ht="15.75" customHeight="1">
      <c r="O527" s="191"/>
    </row>
    <row r="528" spans="15:15" ht="15.75" customHeight="1">
      <c r="O528" s="191"/>
    </row>
    <row r="529" spans="15:15" ht="15.75" customHeight="1">
      <c r="O529" s="191"/>
    </row>
    <row r="530" spans="15:15" ht="15.75" customHeight="1">
      <c r="O530" s="191"/>
    </row>
    <row r="531" spans="15:15" ht="15.75" customHeight="1">
      <c r="O531" s="191"/>
    </row>
    <row r="532" spans="15:15" ht="15.75" customHeight="1">
      <c r="O532" s="191"/>
    </row>
    <row r="533" spans="15:15" ht="15.75" customHeight="1">
      <c r="O533" s="191"/>
    </row>
    <row r="534" spans="15:15" ht="15.75" customHeight="1">
      <c r="O534" s="191"/>
    </row>
    <row r="535" spans="15:15" ht="15.75" customHeight="1">
      <c r="O535" s="191"/>
    </row>
    <row r="536" spans="15:15" ht="15.75" customHeight="1">
      <c r="O536" s="191"/>
    </row>
    <row r="537" spans="15:15" ht="15.75" customHeight="1">
      <c r="O537" s="191"/>
    </row>
    <row r="538" spans="15:15" ht="15.75" customHeight="1">
      <c r="O538" s="191"/>
    </row>
    <row r="539" spans="15:15" ht="15.75" customHeight="1">
      <c r="O539" s="191"/>
    </row>
    <row r="540" spans="15:15" ht="15.75" customHeight="1">
      <c r="O540" s="191"/>
    </row>
    <row r="541" spans="15:15" ht="15.75" customHeight="1">
      <c r="O541" s="191"/>
    </row>
    <row r="542" spans="15:15" ht="15.75" customHeight="1">
      <c r="O542" s="191"/>
    </row>
    <row r="543" spans="15:15" ht="15.75" customHeight="1">
      <c r="O543" s="191"/>
    </row>
    <row r="544" spans="15:15" ht="15.75" customHeight="1">
      <c r="O544" s="191"/>
    </row>
    <row r="545" spans="15:15" ht="15.75" customHeight="1">
      <c r="O545" s="191"/>
    </row>
    <row r="546" spans="15:15" ht="15.75" customHeight="1">
      <c r="O546" s="191"/>
    </row>
    <row r="547" spans="15:15" ht="15.75" customHeight="1">
      <c r="O547" s="191"/>
    </row>
    <row r="548" spans="15:15" ht="15.75" customHeight="1">
      <c r="O548" s="191"/>
    </row>
    <row r="549" spans="15:15" ht="15.75" customHeight="1">
      <c r="O549" s="191"/>
    </row>
    <row r="550" spans="15:15" ht="15.75" customHeight="1">
      <c r="O550" s="191"/>
    </row>
    <row r="551" spans="15:15" ht="15.75" customHeight="1">
      <c r="O551" s="191"/>
    </row>
    <row r="552" spans="15:15" ht="15.75" customHeight="1">
      <c r="O552" s="191"/>
    </row>
    <row r="553" spans="15:15" ht="15.75" customHeight="1">
      <c r="O553" s="191"/>
    </row>
    <row r="554" spans="15:15" ht="15.75" customHeight="1">
      <c r="O554" s="191"/>
    </row>
    <row r="555" spans="15:15" ht="15.75" customHeight="1">
      <c r="O555" s="191"/>
    </row>
    <row r="556" spans="15:15" ht="15.75" customHeight="1">
      <c r="O556" s="191"/>
    </row>
    <row r="557" spans="15:15" ht="15.75" customHeight="1">
      <c r="O557" s="191"/>
    </row>
    <row r="558" spans="15:15" ht="15.75" customHeight="1">
      <c r="O558" s="191"/>
    </row>
    <row r="559" spans="15:15" ht="15.75" customHeight="1">
      <c r="O559" s="191"/>
    </row>
    <row r="560" spans="15:15" ht="15.75" customHeight="1">
      <c r="O560" s="191"/>
    </row>
    <row r="561" spans="15:15" ht="15.75" customHeight="1">
      <c r="O561" s="191"/>
    </row>
    <row r="562" spans="15:15" ht="15.75" customHeight="1">
      <c r="O562" s="191"/>
    </row>
    <row r="563" spans="15:15" ht="15.75" customHeight="1">
      <c r="O563" s="191"/>
    </row>
    <row r="564" spans="15:15" ht="15.75" customHeight="1">
      <c r="O564" s="191"/>
    </row>
    <row r="565" spans="15:15" ht="15.75" customHeight="1">
      <c r="O565" s="191"/>
    </row>
    <row r="566" spans="15:15" ht="15.75" customHeight="1">
      <c r="O566" s="191"/>
    </row>
    <row r="567" spans="15:15" ht="15.75" customHeight="1">
      <c r="O567" s="191"/>
    </row>
    <row r="568" spans="15:15" ht="15.75" customHeight="1">
      <c r="O568" s="191"/>
    </row>
    <row r="569" spans="15:15" ht="15.75" customHeight="1">
      <c r="O569" s="191"/>
    </row>
    <row r="570" spans="15:15" ht="15.75" customHeight="1">
      <c r="O570" s="191"/>
    </row>
    <row r="571" spans="15:15" ht="15.75" customHeight="1">
      <c r="O571" s="191"/>
    </row>
    <row r="572" spans="15:15" ht="15.75" customHeight="1">
      <c r="O572" s="191"/>
    </row>
    <row r="573" spans="15:15" ht="15.75" customHeight="1">
      <c r="O573" s="191"/>
    </row>
    <row r="574" spans="15:15" ht="15.75" customHeight="1">
      <c r="O574" s="191"/>
    </row>
    <row r="575" spans="15:15" ht="15.75" customHeight="1">
      <c r="O575" s="191"/>
    </row>
    <row r="576" spans="15:15" ht="15.75" customHeight="1">
      <c r="O576" s="191"/>
    </row>
    <row r="577" spans="15:15" ht="15.75" customHeight="1">
      <c r="O577" s="191"/>
    </row>
    <row r="578" spans="15:15" ht="15.75" customHeight="1">
      <c r="O578" s="191"/>
    </row>
    <row r="579" spans="15:15" ht="15.75" customHeight="1">
      <c r="O579" s="191"/>
    </row>
    <row r="580" spans="15:15" ht="15.75" customHeight="1">
      <c r="O580" s="191"/>
    </row>
    <row r="581" spans="15:15" ht="15.75" customHeight="1">
      <c r="O581" s="191"/>
    </row>
    <row r="582" spans="15:15" ht="15.75" customHeight="1">
      <c r="O582" s="191"/>
    </row>
    <row r="583" spans="15:15" ht="15.75" customHeight="1">
      <c r="O583" s="191"/>
    </row>
    <row r="584" spans="15:15" ht="15.75" customHeight="1">
      <c r="O584" s="191"/>
    </row>
    <row r="585" spans="15:15" ht="15.75" customHeight="1">
      <c r="O585" s="191"/>
    </row>
    <row r="586" spans="15:15" ht="15.75" customHeight="1">
      <c r="O586" s="191"/>
    </row>
    <row r="587" spans="15:15" ht="15.75" customHeight="1">
      <c r="O587" s="191"/>
    </row>
    <row r="588" spans="15:15" ht="15.75" customHeight="1">
      <c r="O588" s="191"/>
    </row>
    <row r="589" spans="15:15" ht="15.75" customHeight="1">
      <c r="O589" s="191"/>
    </row>
    <row r="590" spans="15:15" ht="15.75" customHeight="1">
      <c r="O590" s="191"/>
    </row>
    <row r="591" spans="15:15" ht="15.75" customHeight="1">
      <c r="O591" s="191"/>
    </row>
    <row r="592" spans="15:15" ht="15.75" customHeight="1">
      <c r="O592" s="191"/>
    </row>
    <row r="593" spans="15:15" ht="15.75" customHeight="1">
      <c r="O593" s="191"/>
    </row>
    <row r="594" spans="15:15" ht="15.75" customHeight="1">
      <c r="O594" s="191"/>
    </row>
    <row r="595" spans="15:15" ht="15.75" customHeight="1">
      <c r="O595" s="191"/>
    </row>
    <row r="596" spans="15:15" ht="15.75" customHeight="1">
      <c r="O596" s="191"/>
    </row>
    <row r="597" spans="15:15" ht="15.75" customHeight="1">
      <c r="O597" s="191"/>
    </row>
    <row r="598" spans="15:15" ht="15.75" customHeight="1">
      <c r="O598" s="191"/>
    </row>
    <row r="599" spans="15:15" ht="15.75" customHeight="1">
      <c r="O599" s="191"/>
    </row>
    <row r="600" spans="15:15" ht="15.75" customHeight="1">
      <c r="O600" s="191"/>
    </row>
    <row r="601" spans="15:15" ht="15.75" customHeight="1">
      <c r="O601" s="191"/>
    </row>
    <row r="602" spans="15:15" ht="15.75" customHeight="1">
      <c r="O602" s="191"/>
    </row>
    <row r="603" spans="15:15" ht="15.75" customHeight="1">
      <c r="O603" s="191"/>
    </row>
    <row r="604" spans="15:15" ht="15.75" customHeight="1">
      <c r="O604" s="191"/>
    </row>
    <row r="605" spans="15:15" ht="15.75" customHeight="1">
      <c r="O605" s="191"/>
    </row>
    <row r="606" spans="15:15" ht="15.75" customHeight="1">
      <c r="O606" s="191"/>
    </row>
    <row r="607" spans="15:15" ht="15.75" customHeight="1">
      <c r="O607" s="191"/>
    </row>
    <row r="608" spans="15:15" ht="15.75" customHeight="1">
      <c r="O608" s="191"/>
    </row>
    <row r="609" spans="15:15" ht="15.75" customHeight="1">
      <c r="O609" s="191"/>
    </row>
    <row r="610" spans="15:15" ht="15.75" customHeight="1">
      <c r="O610" s="191"/>
    </row>
    <row r="611" spans="15:15" ht="15.75" customHeight="1">
      <c r="O611" s="191"/>
    </row>
    <row r="612" spans="15:15" ht="15.75" customHeight="1">
      <c r="O612" s="191"/>
    </row>
    <row r="613" spans="15:15" ht="15.75" customHeight="1">
      <c r="O613" s="191"/>
    </row>
    <row r="614" spans="15:15" ht="15.75" customHeight="1">
      <c r="O614" s="191"/>
    </row>
    <row r="615" spans="15:15" ht="15.75" customHeight="1">
      <c r="O615" s="191"/>
    </row>
    <row r="616" spans="15:15" ht="15.75" customHeight="1">
      <c r="O616" s="191"/>
    </row>
    <row r="617" spans="15:15" ht="15.75" customHeight="1">
      <c r="O617" s="191"/>
    </row>
    <row r="618" spans="15:15" ht="15.75" customHeight="1">
      <c r="O618" s="191"/>
    </row>
    <row r="619" spans="15:15" ht="15.75" customHeight="1">
      <c r="O619" s="191"/>
    </row>
    <row r="620" spans="15:15" ht="15.75" customHeight="1">
      <c r="O620" s="191"/>
    </row>
    <row r="621" spans="15:15" ht="15.75" customHeight="1">
      <c r="O621" s="191"/>
    </row>
    <row r="622" spans="15:15" ht="15.75" customHeight="1">
      <c r="O622" s="191"/>
    </row>
    <row r="623" spans="15:15" ht="15.75" customHeight="1">
      <c r="O623" s="191"/>
    </row>
    <row r="624" spans="15:15" ht="15.75" customHeight="1">
      <c r="O624" s="191"/>
    </row>
    <row r="625" spans="15:15" ht="15.75" customHeight="1">
      <c r="O625" s="191"/>
    </row>
    <row r="626" spans="15:15" ht="15.75" customHeight="1">
      <c r="O626" s="191"/>
    </row>
    <row r="627" spans="15:15" ht="15.75" customHeight="1">
      <c r="O627" s="191"/>
    </row>
    <row r="628" spans="15:15" ht="15.75" customHeight="1">
      <c r="O628" s="191"/>
    </row>
    <row r="629" spans="15:15" ht="15.75" customHeight="1">
      <c r="O629" s="191"/>
    </row>
    <row r="630" spans="15:15" ht="15.75" customHeight="1">
      <c r="O630" s="191"/>
    </row>
    <row r="631" spans="15:15" ht="15.75" customHeight="1">
      <c r="O631" s="191"/>
    </row>
    <row r="632" spans="15:15" ht="15.75" customHeight="1">
      <c r="O632" s="191"/>
    </row>
    <row r="633" spans="15:15" ht="15.75" customHeight="1">
      <c r="O633" s="191"/>
    </row>
    <row r="634" spans="15:15" ht="15.75" customHeight="1">
      <c r="O634" s="191"/>
    </row>
    <row r="635" spans="15:15" ht="15.75" customHeight="1">
      <c r="O635" s="191"/>
    </row>
    <row r="636" spans="15:15" ht="15.75" customHeight="1">
      <c r="O636" s="191"/>
    </row>
    <row r="637" spans="15:15" ht="15.75" customHeight="1">
      <c r="O637" s="191"/>
    </row>
    <row r="638" spans="15:15" ht="15.75" customHeight="1">
      <c r="O638" s="191"/>
    </row>
    <row r="639" spans="15:15" ht="15.75" customHeight="1">
      <c r="O639" s="191"/>
    </row>
    <row r="640" spans="15:15" ht="15.75" customHeight="1">
      <c r="O640" s="191"/>
    </row>
    <row r="641" spans="15:15" ht="15.75" customHeight="1">
      <c r="O641" s="191"/>
    </row>
    <row r="642" spans="15:15" ht="15.75" customHeight="1">
      <c r="O642" s="191"/>
    </row>
    <row r="643" spans="15:15" ht="15.75" customHeight="1">
      <c r="O643" s="191"/>
    </row>
    <row r="644" spans="15:15" ht="15.75" customHeight="1">
      <c r="O644" s="191"/>
    </row>
    <row r="645" spans="15:15" ht="15.75" customHeight="1">
      <c r="O645" s="191"/>
    </row>
    <row r="646" spans="15:15" ht="15.75" customHeight="1">
      <c r="O646" s="191"/>
    </row>
    <row r="647" spans="15:15" ht="15.75" customHeight="1">
      <c r="O647" s="191"/>
    </row>
    <row r="648" spans="15:15" ht="15.75" customHeight="1">
      <c r="O648" s="191"/>
    </row>
    <row r="649" spans="15:15" ht="15.75" customHeight="1">
      <c r="O649" s="191"/>
    </row>
    <row r="650" spans="15:15" ht="15.75" customHeight="1">
      <c r="O650" s="191"/>
    </row>
    <row r="651" spans="15:15" ht="15.75" customHeight="1">
      <c r="O651" s="191"/>
    </row>
    <row r="652" spans="15:15" ht="15.75" customHeight="1">
      <c r="O652" s="191"/>
    </row>
    <row r="653" spans="15:15" ht="15.75" customHeight="1">
      <c r="O653" s="191"/>
    </row>
    <row r="654" spans="15:15" ht="15.75" customHeight="1">
      <c r="O654" s="191"/>
    </row>
    <row r="655" spans="15:15" ht="15.75" customHeight="1">
      <c r="O655" s="191"/>
    </row>
    <row r="656" spans="15:15" ht="15.75" customHeight="1">
      <c r="O656" s="191"/>
    </row>
    <row r="657" spans="15:15" ht="15.75" customHeight="1">
      <c r="O657" s="191"/>
    </row>
    <row r="658" spans="15:15" ht="15.75" customHeight="1">
      <c r="O658" s="191"/>
    </row>
    <row r="659" spans="15:15" ht="15.75" customHeight="1">
      <c r="O659" s="191"/>
    </row>
    <row r="660" spans="15:15" ht="15.75" customHeight="1">
      <c r="O660" s="191"/>
    </row>
    <row r="661" spans="15:15" ht="15.75" customHeight="1">
      <c r="O661" s="191"/>
    </row>
    <row r="662" spans="15:15" ht="15.75" customHeight="1">
      <c r="O662" s="191"/>
    </row>
    <row r="663" spans="15:15" ht="15.75" customHeight="1">
      <c r="O663" s="191"/>
    </row>
    <row r="664" spans="15:15" ht="15.75" customHeight="1">
      <c r="O664" s="191"/>
    </row>
    <row r="665" spans="15:15" ht="15.75" customHeight="1">
      <c r="O665" s="191"/>
    </row>
    <row r="666" spans="15:15" ht="15.75" customHeight="1">
      <c r="O666" s="191"/>
    </row>
    <row r="667" spans="15:15" ht="15.75" customHeight="1">
      <c r="O667" s="191"/>
    </row>
    <row r="668" spans="15:15" ht="15.75" customHeight="1">
      <c r="O668" s="191"/>
    </row>
    <row r="669" spans="15:15" ht="15.75" customHeight="1">
      <c r="O669" s="191"/>
    </row>
    <row r="670" spans="15:15" ht="15.75" customHeight="1">
      <c r="O670" s="191"/>
    </row>
    <row r="671" spans="15:15" ht="15.75" customHeight="1">
      <c r="O671" s="191"/>
    </row>
    <row r="672" spans="15:15" ht="15.75" customHeight="1">
      <c r="O672" s="191"/>
    </row>
    <row r="673" spans="15:15" ht="15.75" customHeight="1">
      <c r="O673" s="191"/>
    </row>
    <row r="674" spans="15:15" ht="15.75" customHeight="1">
      <c r="O674" s="191"/>
    </row>
    <row r="675" spans="15:15" ht="15.75" customHeight="1">
      <c r="O675" s="191"/>
    </row>
    <row r="676" spans="15:15" ht="15.75" customHeight="1">
      <c r="O676" s="191"/>
    </row>
    <row r="677" spans="15:15" ht="15.75" customHeight="1">
      <c r="O677" s="191"/>
    </row>
    <row r="678" spans="15:15" ht="15.75" customHeight="1">
      <c r="O678" s="191"/>
    </row>
    <row r="679" spans="15:15" ht="15.75" customHeight="1">
      <c r="O679" s="191"/>
    </row>
    <row r="680" spans="15:15" ht="15.75" customHeight="1">
      <c r="O680" s="191"/>
    </row>
    <row r="681" spans="15:15" ht="15.75" customHeight="1">
      <c r="O681" s="191"/>
    </row>
    <row r="682" spans="15:15" ht="15.75" customHeight="1">
      <c r="O682" s="191"/>
    </row>
    <row r="683" spans="15:15" ht="15.75" customHeight="1">
      <c r="O683" s="191"/>
    </row>
    <row r="684" spans="15:15" ht="15.75" customHeight="1">
      <c r="O684" s="191"/>
    </row>
    <row r="685" spans="15:15" ht="15.75" customHeight="1">
      <c r="O685" s="191"/>
    </row>
    <row r="686" spans="15:15" ht="15.75" customHeight="1">
      <c r="O686" s="191"/>
    </row>
    <row r="687" spans="15:15" ht="15.75" customHeight="1">
      <c r="O687" s="191"/>
    </row>
    <row r="688" spans="15:15" ht="15.75" customHeight="1">
      <c r="O688" s="191"/>
    </row>
    <row r="689" spans="15:15" ht="15.75" customHeight="1">
      <c r="O689" s="191"/>
    </row>
    <row r="690" spans="15:15" ht="15.75" customHeight="1">
      <c r="O690" s="191"/>
    </row>
    <row r="691" spans="15:15" ht="15.75" customHeight="1">
      <c r="O691" s="191"/>
    </row>
    <row r="692" spans="15:15" ht="15.75" customHeight="1">
      <c r="O692" s="191"/>
    </row>
    <row r="693" spans="15:15" ht="15.75" customHeight="1">
      <c r="O693" s="191"/>
    </row>
    <row r="694" spans="15:15" ht="15.75" customHeight="1">
      <c r="O694" s="191"/>
    </row>
    <row r="695" spans="15:15" ht="15.75" customHeight="1">
      <c r="O695" s="191"/>
    </row>
    <row r="696" spans="15:15" ht="15.75" customHeight="1">
      <c r="O696" s="191"/>
    </row>
    <row r="697" spans="15:15" ht="15.75" customHeight="1">
      <c r="O697" s="191"/>
    </row>
    <row r="698" spans="15:15" ht="15.75" customHeight="1">
      <c r="O698" s="191"/>
    </row>
    <row r="699" spans="15:15" ht="15.75" customHeight="1">
      <c r="O699" s="191"/>
    </row>
    <row r="700" spans="15:15" ht="15.75" customHeight="1">
      <c r="O700" s="191"/>
    </row>
    <row r="701" spans="15:15" ht="15.75" customHeight="1">
      <c r="O701" s="191"/>
    </row>
    <row r="702" spans="15:15" ht="15.75" customHeight="1">
      <c r="O702" s="191"/>
    </row>
    <row r="703" spans="15:15" ht="15.75" customHeight="1">
      <c r="O703" s="191"/>
    </row>
    <row r="704" spans="15:15" ht="15.75" customHeight="1">
      <c r="O704" s="191"/>
    </row>
    <row r="705" spans="15:15" ht="15.75" customHeight="1">
      <c r="O705" s="191"/>
    </row>
    <row r="706" spans="15:15" ht="15.75" customHeight="1">
      <c r="O706" s="191"/>
    </row>
    <row r="707" spans="15:15" ht="15.75" customHeight="1">
      <c r="O707" s="191"/>
    </row>
    <row r="708" spans="15:15" ht="15.75" customHeight="1">
      <c r="O708" s="191"/>
    </row>
    <row r="709" spans="15:15" ht="15.75" customHeight="1">
      <c r="O709" s="191"/>
    </row>
    <row r="710" spans="15:15" ht="15.75" customHeight="1">
      <c r="O710" s="191"/>
    </row>
    <row r="711" spans="15:15" ht="15.75" customHeight="1">
      <c r="O711" s="191"/>
    </row>
    <row r="712" spans="15:15" ht="15.75" customHeight="1">
      <c r="O712" s="191"/>
    </row>
    <row r="713" spans="15:15" ht="15.75" customHeight="1">
      <c r="O713" s="191"/>
    </row>
    <row r="714" spans="15:15" ht="15.75" customHeight="1">
      <c r="O714" s="191"/>
    </row>
    <row r="715" spans="15:15" ht="15.75" customHeight="1">
      <c r="O715" s="191"/>
    </row>
    <row r="716" spans="15:15" ht="15.75" customHeight="1">
      <c r="O716" s="191"/>
    </row>
    <row r="717" spans="15:15" ht="15.75" customHeight="1">
      <c r="O717" s="191"/>
    </row>
    <row r="718" spans="15:15" ht="15.75" customHeight="1">
      <c r="O718" s="191"/>
    </row>
    <row r="719" spans="15:15" ht="15.75" customHeight="1">
      <c r="O719" s="191"/>
    </row>
    <row r="720" spans="15:15" ht="15.75" customHeight="1">
      <c r="O720" s="191"/>
    </row>
    <row r="721" spans="15:15" ht="15.75" customHeight="1">
      <c r="O721" s="191"/>
    </row>
    <row r="722" spans="15:15" ht="15.75" customHeight="1">
      <c r="O722" s="191"/>
    </row>
    <row r="723" spans="15:15" ht="15.75" customHeight="1">
      <c r="O723" s="191"/>
    </row>
    <row r="724" spans="15:15" ht="15.75" customHeight="1">
      <c r="O724" s="191"/>
    </row>
    <row r="725" spans="15:15" ht="15.75" customHeight="1">
      <c r="O725" s="191"/>
    </row>
    <row r="726" spans="15:15" ht="15.75" customHeight="1">
      <c r="O726" s="191"/>
    </row>
    <row r="727" spans="15:15" ht="15.75" customHeight="1">
      <c r="O727" s="191"/>
    </row>
    <row r="728" spans="15:15" ht="15.75" customHeight="1">
      <c r="O728" s="191"/>
    </row>
    <row r="729" spans="15:15" ht="15.75" customHeight="1">
      <c r="O729" s="191"/>
    </row>
    <row r="730" spans="15:15" ht="15.75" customHeight="1">
      <c r="O730" s="191"/>
    </row>
    <row r="731" spans="15:15" ht="15.75" customHeight="1">
      <c r="O731" s="191"/>
    </row>
    <row r="732" spans="15:15" ht="15.75" customHeight="1">
      <c r="O732" s="191"/>
    </row>
    <row r="733" spans="15:15" ht="15.75" customHeight="1">
      <c r="O733" s="191"/>
    </row>
    <row r="734" spans="15:15" ht="15.75" customHeight="1">
      <c r="O734" s="191"/>
    </row>
    <row r="735" spans="15:15" ht="15.75" customHeight="1">
      <c r="O735" s="191"/>
    </row>
    <row r="736" spans="15:15" ht="15.75" customHeight="1">
      <c r="O736" s="191"/>
    </row>
    <row r="737" spans="15:15" ht="15.75" customHeight="1">
      <c r="O737" s="191"/>
    </row>
    <row r="738" spans="15:15" ht="15.75" customHeight="1">
      <c r="O738" s="191"/>
    </row>
    <row r="739" spans="15:15" ht="15.75" customHeight="1">
      <c r="O739" s="191"/>
    </row>
    <row r="740" spans="15:15" ht="15.75" customHeight="1">
      <c r="O740" s="191"/>
    </row>
    <row r="741" spans="15:15" ht="15.75" customHeight="1">
      <c r="O741" s="191"/>
    </row>
    <row r="742" spans="15:15" ht="15.75" customHeight="1">
      <c r="O742" s="191"/>
    </row>
    <row r="743" spans="15:15" ht="15.75" customHeight="1">
      <c r="O743" s="191"/>
    </row>
    <row r="744" spans="15:15" ht="15.75" customHeight="1">
      <c r="O744" s="191"/>
    </row>
    <row r="745" spans="15:15" ht="15.75" customHeight="1">
      <c r="O745" s="191"/>
    </row>
    <row r="746" spans="15:15" ht="15.75" customHeight="1">
      <c r="O746" s="191"/>
    </row>
    <row r="747" spans="15:15" ht="15.75" customHeight="1">
      <c r="O747" s="191"/>
    </row>
    <row r="748" spans="15:15" ht="15.75" customHeight="1">
      <c r="O748" s="191"/>
    </row>
    <row r="749" spans="15:15" ht="15.75" customHeight="1">
      <c r="O749" s="191"/>
    </row>
    <row r="750" spans="15:15" ht="15.75" customHeight="1">
      <c r="O750" s="191"/>
    </row>
    <row r="751" spans="15:15" ht="15.75" customHeight="1">
      <c r="O751" s="191"/>
    </row>
    <row r="752" spans="15:15" ht="15.75" customHeight="1">
      <c r="O752" s="191"/>
    </row>
    <row r="753" spans="15:15" ht="15.75" customHeight="1">
      <c r="O753" s="191"/>
    </row>
    <row r="754" spans="15:15" ht="15.75" customHeight="1">
      <c r="O754" s="191"/>
    </row>
    <row r="755" spans="15:15" ht="15.75" customHeight="1">
      <c r="O755" s="191"/>
    </row>
    <row r="756" spans="15:15" ht="15.75" customHeight="1">
      <c r="O756" s="191"/>
    </row>
    <row r="757" spans="15:15" ht="15.75" customHeight="1">
      <c r="O757" s="191"/>
    </row>
    <row r="758" spans="15:15" ht="15.75" customHeight="1">
      <c r="O758" s="191"/>
    </row>
    <row r="759" spans="15:15" ht="15.75" customHeight="1">
      <c r="O759" s="191"/>
    </row>
    <row r="760" spans="15:15" ht="15.75" customHeight="1">
      <c r="O760" s="191"/>
    </row>
    <row r="761" spans="15:15" ht="15.75" customHeight="1">
      <c r="O761" s="191"/>
    </row>
    <row r="762" spans="15:15" ht="15.75" customHeight="1">
      <c r="O762" s="191"/>
    </row>
    <row r="763" spans="15:15" ht="15.75" customHeight="1">
      <c r="O763" s="191"/>
    </row>
    <row r="764" spans="15:15" ht="15.75" customHeight="1">
      <c r="O764" s="191"/>
    </row>
    <row r="765" spans="15:15" ht="15.75" customHeight="1">
      <c r="O765" s="191"/>
    </row>
    <row r="766" spans="15:15" ht="15.75" customHeight="1">
      <c r="O766" s="191"/>
    </row>
    <row r="767" spans="15:15" ht="15.75" customHeight="1">
      <c r="O767" s="191"/>
    </row>
    <row r="768" spans="15:15" ht="15.75" customHeight="1">
      <c r="O768" s="191"/>
    </row>
    <row r="769" spans="15:15" ht="15.75" customHeight="1">
      <c r="O769" s="191"/>
    </row>
    <row r="770" spans="15:15" ht="15.75" customHeight="1">
      <c r="O770" s="191"/>
    </row>
    <row r="771" spans="15:15" ht="15.75" customHeight="1">
      <c r="O771" s="191"/>
    </row>
    <row r="772" spans="15:15" ht="15.75" customHeight="1">
      <c r="O772" s="191"/>
    </row>
    <row r="773" spans="15:15" ht="15.75" customHeight="1">
      <c r="O773" s="191"/>
    </row>
    <row r="774" spans="15:15" ht="15.75" customHeight="1">
      <c r="O774" s="191"/>
    </row>
    <row r="775" spans="15:15" ht="15.75" customHeight="1">
      <c r="O775" s="191"/>
    </row>
    <row r="776" spans="15:15" ht="15.75" customHeight="1">
      <c r="O776" s="191"/>
    </row>
    <row r="777" spans="15:15" ht="15.75" customHeight="1">
      <c r="O777" s="191"/>
    </row>
    <row r="778" spans="15:15" ht="15.75" customHeight="1">
      <c r="O778" s="191"/>
    </row>
    <row r="779" spans="15:15" ht="15.75" customHeight="1">
      <c r="O779" s="191"/>
    </row>
    <row r="780" spans="15:15" ht="15.75" customHeight="1">
      <c r="O780" s="191"/>
    </row>
    <row r="781" spans="15:15" ht="15.75" customHeight="1">
      <c r="O781" s="191"/>
    </row>
    <row r="782" spans="15:15" ht="15.75" customHeight="1">
      <c r="O782" s="191"/>
    </row>
    <row r="783" spans="15:15" ht="15.75" customHeight="1">
      <c r="O783" s="191"/>
    </row>
    <row r="784" spans="15:15" ht="15.75" customHeight="1">
      <c r="O784" s="191"/>
    </row>
    <row r="785" spans="15:15" ht="15.75" customHeight="1">
      <c r="O785" s="191"/>
    </row>
    <row r="786" spans="15:15" ht="15.75" customHeight="1">
      <c r="O786" s="191"/>
    </row>
    <row r="787" spans="15:15" ht="15.75" customHeight="1">
      <c r="O787" s="191"/>
    </row>
    <row r="788" spans="15:15" ht="15.75" customHeight="1">
      <c r="O788" s="191"/>
    </row>
    <row r="789" spans="15:15" ht="15.75" customHeight="1">
      <c r="O789" s="191"/>
    </row>
    <row r="790" spans="15:15" ht="15.75" customHeight="1">
      <c r="O790" s="191"/>
    </row>
    <row r="791" spans="15:15" ht="15.75" customHeight="1">
      <c r="O791" s="191"/>
    </row>
    <row r="792" spans="15:15" ht="15.75" customHeight="1">
      <c r="O792" s="191"/>
    </row>
    <row r="793" spans="15:15" ht="15.75" customHeight="1">
      <c r="O793" s="191"/>
    </row>
    <row r="794" spans="15:15" ht="15.75" customHeight="1">
      <c r="O794" s="191"/>
    </row>
    <row r="795" spans="15:15" ht="15.75" customHeight="1">
      <c r="O795" s="191"/>
    </row>
    <row r="796" spans="15:15" ht="15.75" customHeight="1">
      <c r="O796" s="191"/>
    </row>
    <row r="797" spans="15:15" ht="15.75" customHeight="1">
      <c r="O797" s="191"/>
    </row>
    <row r="798" spans="15:15" ht="15.75" customHeight="1">
      <c r="O798" s="191"/>
    </row>
    <row r="799" spans="15:15" ht="15.75" customHeight="1">
      <c r="O799" s="191"/>
    </row>
    <row r="800" spans="15:15" ht="15.75" customHeight="1">
      <c r="O800" s="191"/>
    </row>
    <row r="801" spans="15:15" ht="15.75" customHeight="1">
      <c r="O801" s="191"/>
    </row>
    <row r="802" spans="15:15" ht="15.75" customHeight="1">
      <c r="O802" s="191"/>
    </row>
    <row r="803" spans="15:15" ht="15.75" customHeight="1">
      <c r="O803" s="191"/>
    </row>
    <row r="804" spans="15:15" ht="15.75" customHeight="1">
      <c r="O804" s="191"/>
    </row>
    <row r="805" spans="15:15" ht="15.75" customHeight="1">
      <c r="O805" s="191"/>
    </row>
    <row r="806" spans="15:15" ht="15.75" customHeight="1">
      <c r="O806" s="191"/>
    </row>
    <row r="807" spans="15:15" ht="15.75" customHeight="1">
      <c r="O807" s="191"/>
    </row>
    <row r="808" spans="15:15" ht="15.75" customHeight="1">
      <c r="O808" s="191"/>
    </row>
    <row r="809" spans="15:15" ht="15.75" customHeight="1">
      <c r="O809" s="191"/>
    </row>
    <row r="810" spans="15:15" ht="15.75" customHeight="1">
      <c r="O810" s="191"/>
    </row>
    <row r="811" spans="15:15" ht="15.75" customHeight="1">
      <c r="O811" s="191"/>
    </row>
    <row r="812" spans="15:15" ht="15.75" customHeight="1">
      <c r="O812" s="191"/>
    </row>
    <row r="813" spans="15:15" ht="15.75" customHeight="1">
      <c r="O813" s="191"/>
    </row>
    <row r="814" spans="15:15" ht="15.75" customHeight="1">
      <c r="O814" s="191"/>
    </row>
    <row r="815" spans="15:15" ht="15.75" customHeight="1">
      <c r="O815" s="191"/>
    </row>
    <row r="816" spans="15:15" ht="15.75" customHeight="1">
      <c r="O816" s="191"/>
    </row>
    <row r="817" spans="15:15" ht="15.75" customHeight="1">
      <c r="O817" s="191"/>
    </row>
    <row r="818" spans="15:15" ht="15.75" customHeight="1">
      <c r="O818" s="191"/>
    </row>
    <row r="819" spans="15:15" ht="15.75" customHeight="1">
      <c r="O819" s="191"/>
    </row>
    <row r="820" spans="15:15" ht="15.75" customHeight="1">
      <c r="O820" s="191"/>
    </row>
    <row r="821" spans="15:15" ht="15.75" customHeight="1">
      <c r="O821" s="191"/>
    </row>
    <row r="822" spans="15:15" ht="15.75" customHeight="1">
      <c r="O822" s="191"/>
    </row>
    <row r="823" spans="15:15" ht="15.75" customHeight="1">
      <c r="O823" s="191"/>
    </row>
    <row r="824" spans="15:15" ht="15.75" customHeight="1">
      <c r="O824" s="191"/>
    </row>
    <row r="825" spans="15:15" ht="15.75" customHeight="1">
      <c r="O825" s="191"/>
    </row>
    <row r="826" spans="15:15" ht="15.75" customHeight="1">
      <c r="O826" s="191"/>
    </row>
    <row r="827" spans="15:15" ht="15.75" customHeight="1">
      <c r="O827" s="191"/>
    </row>
    <row r="828" spans="15:15" ht="15.75" customHeight="1">
      <c r="O828" s="191"/>
    </row>
    <row r="829" spans="15:15" ht="15.75" customHeight="1">
      <c r="O829" s="191"/>
    </row>
    <row r="830" spans="15:15" ht="15.75" customHeight="1">
      <c r="O830" s="191"/>
    </row>
    <row r="831" spans="15:15" ht="15.75" customHeight="1">
      <c r="O831" s="191"/>
    </row>
    <row r="832" spans="15:15" ht="15.75" customHeight="1">
      <c r="O832" s="191"/>
    </row>
    <row r="833" spans="15:15" ht="15.75" customHeight="1">
      <c r="O833" s="191"/>
    </row>
    <row r="834" spans="15:15" ht="15.75" customHeight="1">
      <c r="O834" s="191"/>
    </row>
    <row r="835" spans="15:15" ht="15.75" customHeight="1">
      <c r="O835" s="191"/>
    </row>
    <row r="836" spans="15:15" ht="15.75" customHeight="1">
      <c r="O836" s="191"/>
    </row>
    <row r="837" spans="15:15" ht="15.75" customHeight="1">
      <c r="O837" s="191"/>
    </row>
    <row r="838" spans="15:15" ht="15.75" customHeight="1">
      <c r="O838" s="191"/>
    </row>
    <row r="839" spans="15:15" ht="15.75" customHeight="1">
      <c r="O839" s="191"/>
    </row>
    <row r="840" spans="15:15" ht="15.75" customHeight="1">
      <c r="O840" s="191"/>
    </row>
    <row r="841" spans="15:15" ht="15.75" customHeight="1">
      <c r="O841" s="191"/>
    </row>
    <row r="842" spans="15:15" ht="15.75" customHeight="1">
      <c r="O842" s="191"/>
    </row>
    <row r="843" spans="15:15" ht="15.75" customHeight="1">
      <c r="O843" s="191"/>
    </row>
    <row r="844" spans="15:15" ht="15.75" customHeight="1">
      <c r="O844" s="191"/>
    </row>
    <row r="845" spans="15:15" ht="15.75" customHeight="1">
      <c r="O845" s="191"/>
    </row>
    <row r="846" spans="15:15" ht="15.75" customHeight="1">
      <c r="O846" s="191"/>
    </row>
    <row r="847" spans="15:15" ht="15.75" customHeight="1">
      <c r="O847" s="191"/>
    </row>
    <row r="848" spans="15:15" ht="15.75" customHeight="1">
      <c r="O848" s="191"/>
    </row>
    <row r="849" spans="15:15" ht="15.75" customHeight="1">
      <c r="O849" s="191"/>
    </row>
    <row r="850" spans="15:15" ht="15.75" customHeight="1">
      <c r="O850" s="191"/>
    </row>
    <row r="851" spans="15:15" ht="15.75" customHeight="1">
      <c r="O851" s="191"/>
    </row>
    <row r="852" spans="15:15" ht="15.75" customHeight="1">
      <c r="O852" s="191"/>
    </row>
    <row r="853" spans="15:15" ht="15.75" customHeight="1">
      <c r="O853" s="191"/>
    </row>
    <row r="854" spans="15:15" ht="15.75" customHeight="1">
      <c r="O854" s="191"/>
    </row>
    <row r="855" spans="15:15" ht="15.75" customHeight="1">
      <c r="O855" s="191"/>
    </row>
    <row r="856" spans="15:15" ht="15.75" customHeight="1">
      <c r="O856" s="191"/>
    </row>
    <row r="857" spans="15:15" ht="15.75" customHeight="1">
      <c r="O857" s="191"/>
    </row>
    <row r="858" spans="15:15" ht="15.75" customHeight="1">
      <c r="O858" s="191"/>
    </row>
    <row r="859" spans="15:15" ht="15.75" customHeight="1">
      <c r="O859" s="191"/>
    </row>
    <row r="860" spans="15:15" ht="15.75" customHeight="1">
      <c r="O860" s="191"/>
    </row>
    <row r="861" spans="15:15" ht="15.75" customHeight="1">
      <c r="O861" s="191"/>
    </row>
    <row r="862" spans="15:15" ht="15.75" customHeight="1">
      <c r="O862" s="191"/>
    </row>
    <row r="863" spans="15:15" ht="15.75" customHeight="1">
      <c r="O863" s="191"/>
    </row>
    <row r="864" spans="15:15" ht="15.75" customHeight="1">
      <c r="O864" s="191"/>
    </row>
    <row r="865" spans="15:15" ht="15.75" customHeight="1">
      <c r="O865" s="191"/>
    </row>
    <row r="866" spans="15:15" ht="15.75" customHeight="1">
      <c r="O866" s="191"/>
    </row>
    <row r="867" spans="15:15" ht="15.75" customHeight="1">
      <c r="O867" s="191"/>
    </row>
    <row r="868" spans="15:15" ht="15.75" customHeight="1">
      <c r="O868" s="191"/>
    </row>
    <row r="869" spans="15:15" ht="15.75" customHeight="1">
      <c r="O869" s="191"/>
    </row>
    <row r="870" spans="15:15" ht="15.75" customHeight="1">
      <c r="O870" s="191"/>
    </row>
    <row r="871" spans="15:15" ht="15.75" customHeight="1">
      <c r="O871" s="191"/>
    </row>
    <row r="872" spans="15:15" ht="15.75" customHeight="1">
      <c r="O872" s="191"/>
    </row>
    <row r="873" spans="15:15" ht="15.75" customHeight="1">
      <c r="O873" s="191"/>
    </row>
    <row r="874" spans="15:15" ht="15.75" customHeight="1">
      <c r="O874" s="191"/>
    </row>
    <row r="875" spans="15:15" ht="15.75" customHeight="1">
      <c r="O875" s="191"/>
    </row>
    <row r="876" spans="15:15" ht="15.75" customHeight="1">
      <c r="O876" s="191"/>
    </row>
    <row r="877" spans="15:15" ht="15.75" customHeight="1">
      <c r="O877" s="191"/>
    </row>
    <row r="878" spans="15:15" ht="15.75" customHeight="1">
      <c r="O878" s="191"/>
    </row>
    <row r="879" spans="15:15" ht="15.75" customHeight="1">
      <c r="O879" s="191"/>
    </row>
    <row r="880" spans="15:15" ht="15.75" customHeight="1">
      <c r="O880" s="191"/>
    </row>
    <row r="881" spans="15:15" ht="15.75" customHeight="1">
      <c r="O881" s="191"/>
    </row>
    <row r="882" spans="15:15" ht="15.75" customHeight="1">
      <c r="O882" s="191"/>
    </row>
    <row r="883" spans="15:15" ht="15.75" customHeight="1">
      <c r="O883" s="191"/>
    </row>
    <row r="884" spans="15:15" ht="15.75" customHeight="1">
      <c r="O884" s="191"/>
    </row>
    <row r="885" spans="15:15" ht="15.75" customHeight="1">
      <c r="O885" s="191"/>
    </row>
    <row r="886" spans="15:15" ht="15.75" customHeight="1">
      <c r="O886" s="191"/>
    </row>
    <row r="887" spans="15:15" ht="15.75" customHeight="1">
      <c r="O887" s="191"/>
    </row>
    <row r="888" spans="15:15" ht="15.75" customHeight="1">
      <c r="O888" s="191"/>
    </row>
    <row r="889" spans="15:15" ht="15.75" customHeight="1">
      <c r="O889" s="191"/>
    </row>
    <row r="890" spans="15:15" ht="15.75" customHeight="1">
      <c r="O890" s="191"/>
    </row>
    <row r="891" spans="15:15" ht="15.75" customHeight="1">
      <c r="O891" s="191"/>
    </row>
    <row r="892" spans="15:15" ht="15.75" customHeight="1">
      <c r="O892" s="191"/>
    </row>
    <row r="893" spans="15:15" ht="15.75" customHeight="1">
      <c r="O893" s="191"/>
    </row>
    <row r="894" spans="15:15" ht="15.75" customHeight="1">
      <c r="O894" s="191"/>
    </row>
    <row r="895" spans="15:15" ht="15.75" customHeight="1">
      <c r="O895" s="191"/>
    </row>
    <row r="896" spans="15:15" ht="15.75" customHeight="1">
      <c r="O896" s="191"/>
    </row>
    <row r="897" spans="15:15" ht="15.75" customHeight="1">
      <c r="O897" s="191"/>
    </row>
    <row r="898" spans="15:15" ht="15.75" customHeight="1">
      <c r="O898" s="191"/>
    </row>
    <row r="899" spans="15:15" ht="15.75" customHeight="1">
      <c r="O899" s="191"/>
    </row>
    <row r="900" spans="15:15" ht="15.75" customHeight="1">
      <c r="O900" s="191"/>
    </row>
    <row r="901" spans="15:15" ht="15.75" customHeight="1">
      <c r="O901" s="191"/>
    </row>
    <row r="902" spans="15:15" ht="15.75" customHeight="1">
      <c r="O902" s="191"/>
    </row>
    <row r="903" spans="15:15" ht="15.75" customHeight="1">
      <c r="O903" s="191"/>
    </row>
    <row r="904" spans="15:15" ht="15.75" customHeight="1">
      <c r="O904" s="191"/>
    </row>
    <row r="905" spans="15:15" ht="15.75" customHeight="1">
      <c r="O905" s="191"/>
    </row>
    <row r="906" spans="15:15" ht="15.75" customHeight="1">
      <c r="O906" s="191"/>
    </row>
    <row r="907" spans="15:15" ht="15.75" customHeight="1">
      <c r="O907" s="191"/>
    </row>
    <row r="908" spans="15:15" ht="15.75" customHeight="1">
      <c r="O908" s="191"/>
    </row>
    <row r="909" spans="15:15" ht="15.75" customHeight="1">
      <c r="O909" s="191"/>
    </row>
    <row r="910" spans="15:15" ht="15.75" customHeight="1">
      <c r="O910" s="191"/>
    </row>
    <row r="911" spans="15:15" ht="15.75" customHeight="1">
      <c r="O911" s="191"/>
    </row>
    <row r="912" spans="15:15" ht="15.75" customHeight="1">
      <c r="O912" s="191"/>
    </row>
    <row r="913" spans="15:15" ht="15.75" customHeight="1">
      <c r="O913" s="191"/>
    </row>
    <row r="914" spans="15:15" ht="15.75" customHeight="1">
      <c r="O914" s="191"/>
    </row>
    <row r="915" spans="15:15" ht="15.75" customHeight="1">
      <c r="O915" s="191"/>
    </row>
    <row r="916" spans="15:15" ht="15.75" customHeight="1">
      <c r="O916" s="191"/>
    </row>
    <row r="917" spans="15:15" ht="15.75" customHeight="1">
      <c r="O917" s="191"/>
    </row>
    <row r="918" spans="15:15" ht="15.75" customHeight="1">
      <c r="O918" s="191"/>
    </row>
    <row r="919" spans="15:15" ht="15.75" customHeight="1">
      <c r="O919" s="191"/>
    </row>
    <row r="920" spans="15:15" ht="15.75" customHeight="1">
      <c r="O920" s="191"/>
    </row>
    <row r="921" spans="15:15" ht="15.75" customHeight="1">
      <c r="O921" s="191"/>
    </row>
    <row r="922" spans="15:15" ht="15.75" customHeight="1">
      <c r="O922" s="191"/>
    </row>
    <row r="923" spans="15:15" ht="15.75" customHeight="1">
      <c r="O923" s="191"/>
    </row>
    <row r="924" spans="15:15" ht="15.75" customHeight="1">
      <c r="O924" s="191"/>
    </row>
    <row r="925" spans="15:15" ht="15.75" customHeight="1">
      <c r="O925" s="191"/>
    </row>
    <row r="926" spans="15:15" ht="15.75" customHeight="1">
      <c r="O926" s="191"/>
    </row>
    <row r="927" spans="15:15" ht="15.75" customHeight="1">
      <c r="O927" s="191"/>
    </row>
    <row r="928" spans="15:15" ht="15.75" customHeight="1">
      <c r="O928" s="191"/>
    </row>
    <row r="929" spans="15:15" ht="15.75" customHeight="1">
      <c r="O929" s="191"/>
    </row>
    <row r="930" spans="15:15" ht="15.75" customHeight="1">
      <c r="O930" s="191"/>
    </row>
    <row r="931" spans="15:15" ht="15.75" customHeight="1">
      <c r="O931" s="191"/>
    </row>
    <row r="932" spans="15:15" ht="15.75" customHeight="1">
      <c r="O932" s="191"/>
    </row>
    <row r="933" spans="15:15" ht="15.75" customHeight="1">
      <c r="O933" s="191"/>
    </row>
    <row r="934" spans="15:15" ht="15.75" customHeight="1">
      <c r="O934" s="191"/>
    </row>
    <row r="935" spans="15:15" ht="15.75" customHeight="1">
      <c r="O935" s="191"/>
    </row>
    <row r="936" spans="15:15" ht="15.75" customHeight="1">
      <c r="O936" s="191"/>
    </row>
    <row r="937" spans="15:15" ht="15.75" customHeight="1">
      <c r="O937" s="191"/>
    </row>
    <row r="938" spans="15:15" ht="15.75" customHeight="1">
      <c r="O938" s="191"/>
    </row>
    <row r="939" spans="15:15" ht="15.75" customHeight="1">
      <c r="O939" s="191"/>
    </row>
    <row r="940" spans="15:15" ht="15.75" customHeight="1">
      <c r="O940" s="191"/>
    </row>
    <row r="941" spans="15:15" ht="15.75" customHeight="1">
      <c r="O941" s="191"/>
    </row>
    <row r="942" spans="15:15" ht="15.75" customHeight="1">
      <c r="O942" s="191"/>
    </row>
    <row r="943" spans="15:15" ht="15.75" customHeight="1">
      <c r="O943" s="191"/>
    </row>
    <row r="944" spans="15:15" ht="15.75" customHeight="1">
      <c r="O944" s="191"/>
    </row>
    <row r="945" spans="15:15" ht="15.75" customHeight="1">
      <c r="O945" s="191"/>
    </row>
    <row r="946" spans="15:15" ht="15.75" customHeight="1">
      <c r="O946" s="191"/>
    </row>
    <row r="947" spans="15:15" ht="15.75" customHeight="1">
      <c r="O947" s="191"/>
    </row>
    <row r="948" spans="15:15" ht="15.75" customHeight="1">
      <c r="O948" s="191"/>
    </row>
    <row r="949" spans="15:15" ht="15.75" customHeight="1">
      <c r="O949" s="191"/>
    </row>
    <row r="950" spans="15:15" ht="15.75" customHeight="1">
      <c r="O950" s="191"/>
    </row>
    <row r="951" spans="15:15" ht="15.75" customHeight="1">
      <c r="O951" s="191"/>
    </row>
    <row r="952" spans="15:15" ht="15.75" customHeight="1">
      <c r="O952" s="191"/>
    </row>
    <row r="953" spans="15:15" ht="15.75" customHeight="1">
      <c r="O953" s="191"/>
    </row>
    <row r="954" spans="15:15" ht="15.75" customHeight="1">
      <c r="O954" s="191"/>
    </row>
    <row r="955" spans="15:15" ht="15.75" customHeight="1">
      <c r="O955" s="191"/>
    </row>
    <row r="956" spans="15:15" ht="15.75" customHeight="1">
      <c r="O956" s="191"/>
    </row>
    <row r="957" spans="15:15" ht="15.75" customHeight="1">
      <c r="O957" s="191"/>
    </row>
    <row r="958" spans="15:15" ht="15.75" customHeight="1">
      <c r="O958" s="191"/>
    </row>
    <row r="959" spans="15:15" ht="15.75" customHeight="1">
      <c r="O959" s="191"/>
    </row>
    <row r="960" spans="15:15" ht="15.75" customHeight="1">
      <c r="O960" s="191"/>
    </row>
    <row r="961" spans="15:15" ht="15.75" customHeight="1">
      <c r="O961" s="191"/>
    </row>
    <row r="962" spans="15:15" ht="15.75" customHeight="1">
      <c r="O962" s="191"/>
    </row>
    <row r="963" spans="15:15" ht="15.75" customHeight="1">
      <c r="O963" s="191"/>
    </row>
    <row r="964" spans="15:15" ht="15.75" customHeight="1">
      <c r="O964" s="191"/>
    </row>
    <row r="965" spans="15:15" ht="15.75" customHeight="1">
      <c r="O965" s="191"/>
    </row>
    <row r="966" spans="15:15" ht="15.75" customHeight="1">
      <c r="O966" s="191"/>
    </row>
    <row r="967" spans="15:15" ht="15.75" customHeight="1">
      <c r="O967" s="191"/>
    </row>
    <row r="968" spans="15:15" ht="15.75" customHeight="1">
      <c r="O968" s="191"/>
    </row>
    <row r="969" spans="15:15" ht="15.75" customHeight="1">
      <c r="O969" s="191"/>
    </row>
    <row r="970" spans="15:15" ht="15.75" customHeight="1">
      <c r="O970" s="191"/>
    </row>
    <row r="971" spans="15:15" ht="15.75" customHeight="1">
      <c r="O971" s="191"/>
    </row>
    <row r="972" spans="15:15" ht="15.75" customHeight="1">
      <c r="O972" s="191"/>
    </row>
    <row r="973" spans="15:15" ht="15.75" customHeight="1">
      <c r="O973" s="191"/>
    </row>
    <row r="974" spans="15:15" ht="15.75" customHeight="1">
      <c r="O974" s="191"/>
    </row>
    <row r="975" spans="15:15" ht="15.75" customHeight="1">
      <c r="O975" s="191"/>
    </row>
    <row r="976" spans="15:15" ht="15.75" customHeight="1">
      <c r="O976" s="191"/>
    </row>
    <row r="977" spans="15:15" ht="15.75" customHeight="1">
      <c r="O977" s="191"/>
    </row>
    <row r="978" spans="15:15" ht="15.75" customHeight="1">
      <c r="O978" s="191"/>
    </row>
    <row r="979" spans="15:15" ht="15.75" customHeight="1">
      <c r="O979" s="191"/>
    </row>
    <row r="980" spans="15:15" ht="15.75" customHeight="1">
      <c r="O980" s="191"/>
    </row>
    <row r="981" spans="15:15" ht="15.75" customHeight="1">
      <c r="O981" s="191"/>
    </row>
    <row r="982" spans="15:15" ht="15.75" customHeight="1">
      <c r="O982" s="191"/>
    </row>
    <row r="983" spans="15:15" ht="15.75" customHeight="1">
      <c r="O983" s="191"/>
    </row>
    <row r="984" spans="15:15" ht="15.75" customHeight="1">
      <c r="O984" s="191"/>
    </row>
    <row r="985" spans="15:15" ht="15.75" customHeight="1">
      <c r="O985" s="191"/>
    </row>
    <row r="986" spans="15:15" ht="15.75" customHeight="1">
      <c r="O986" s="191"/>
    </row>
    <row r="987" spans="15:15" ht="15.75" customHeight="1">
      <c r="O987" s="191"/>
    </row>
    <row r="988" spans="15:15" ht="15.75" customHeight="1">
      <c r="O988" s="191"/>
    </row>
    <row r="989" spans="15:15" ht="15.75" customHeight="1">
      <c r="O989" s="191"/>
    </row>
    <row r="990" spans="15:15" ht="15.75" customHeight="1">
      <c r="O990" s="191"/>
    </row>
    <row r="991" spans="15:15" ht="15.75" customHeight="1">
      <c r="O991" s="191"/>
    </row>
    <row r="992" spans="15:15" ht="15.75" customHeight="1">
      <c r="O992" s="191"/>
    </row>
    <row r="993" spans="15:15" ht="15.75" customHeight="1">
      <c r="O993" s="191"/>
    </row>
    <row r="994" spans="15:15" ht="15.75" customHeight="1">
      <c r="O994" s="191"/>
    </row>
    <row r="995" spans="15:15" ht="15.75" customHeight="1">
      <c r="O995" s="191"/>
    </row>
    <row r="996" spans="15:15" ht="15.75" customHeight="1">
      <c r="O996" s="191"/>
    </row>
    <row r="997" spans="15:15" ht="15.75" customHeight="1">
      <c r="O997" s="191"/>
    </row>
    <row r="998" spans="15:15" ht="15.75" customHeight="1">
      <c r="O998" s="191"/>
    </row>
    <row r="999" spans="15:15" ht="15.75" customHeight="1">
      <c r="O999" s="191"/>
    </row>
    <row r="1000" spans="15:15" ht="15.75" customHeight="1">
      <c r="O1000" s="191"/>
    </row>
  </sheetData>
  <autoFilter ref="A1:P302" xr:uid="{00000000-0001-0000-0000-000000000000}">
    <filterColumn colId="14">
      <filters>
        <filter val="ChillVibes"/>
      </filters>
    </filterColumn>
  </autoFilter>
  <sortState xmlns:xlrd2="http://schemas.microsoft.com/office/spreadsheetml/2017/richdata2" ref="P2:P1000">
    <sortCondition descending="1" ref="P2:P1000"/>
  </sortState>
  <conditionalFormatting sqref="K1:K1048576">
    <cfRule type="top10" dxfId="1" priority="2" rank="10"/>
  </conditionalFormatting>
  <conditionalFormatting sqref="L1:L1048576">
    <cfRule type="expression" priority="3">
      <formula>$U2&lt;=10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Z1000"/>
  <sheetViews>
    <sheetView workbookViewId="0">
      <pane ySplit="1" topLeftCell="A2" activePane="bottomLeft" state="frozen"/>
      <selection sqref="A1:A1048576"/>
      <selection pane="bottomLeft" activeCell="I1" sqref="I1:I1048576"/>
    </sheetView>
  </sheetViews>
  <sheetFormatPr defaultColWidth="14.44140625" defaultRowHeight="15" customHeight="1"/>
  <cols>
    <col min="1" max="1" width="18.21875" style="32" bestFit="1" customWidth="1"/>
    <col min="2" max="2" width="15" style="33" customWidth="1"/>
    <col min="3" max="4" width="19.33203125" style="34" customWidth="1"/>
    <col min="5" max="5" width="17.44140625" style="34" bestFit="1" customWidth="1"/>
    <col min="6" max="6" width="21.109375" style="35" customWidth="1"/>
    <col min="7" max="7" width="12.44140625" style="34" customWidth="1"/>
    <col min="8" max="8" width="19.6640625" style="131" bestFit="1" customWidth="1"/>
    <col min="9" max="9" width="13.109375" style="111" customWidth="1"/>
    <col min="10" max="10" width="12.77734375" style="59" bestFit="1" customWidth="1"/>
    <col min="11" max="11" width="24.33203125" style="59" bestFit="1" customWidth="1"/>
    <col min="12" max="12" width="15.88671875" style="57" customWidth="1"/>
    <col min="17" max="17" width="27.5546875" style="31" bestFit="1" customWidth="1"/>
    <col min="18" max="18" width="24" style="31" bestFit="1" customWidth="1"/>
    <col min="19" max="20" width="5" style="31" bestFit="1" customWidth="1"/>
    <col min="21" max="27" width="6" style="31" bestFit="1" customWidth="1"/>
    <col min="28" max="28" width="5" style="31" bestFit="1" customWidth="1"/>
    <col min="29" max="34" width="6" style="31" bestFit="1" customWidth="1"/>
    <col min="35" max="35" width="5" style="31" bestFit="1" customWidth="1"/>
    <col min="36" max="36" width="6" style="31" bestFit="1" customWidth="1"/>
    <col min="37" max="39" width="5" style="31" bestFit="1" customWidth="1"/>
    <col min="40" max="40" width="6" style="31" bestFit="1" customWidth="1"/>
    <col min="41" max="41" width="5" style="31" bestFit="1" customWidth="1"/>
    <col min="42" max="44" width="6" style="31" bestFit="1" customWidth="1"/>
    <col min="45" max="45" width="5" style="31" bestFit="1" customWidth="1"/>
    <col min="46" max="47" width="6" style="31" bestFit="1" customWidth="1"/>
    <col min="48" max="48" width="5" style="31" bestFit="1" customWidth="1"/>
    <col min="49" max="51" width="6" style="31" bestFit="1" customWidth="1"/>
    <col min="52" max="52" width="5" style="31" bestFit="1" customWidth="1"/>
    <col min="53" max="66" width="6" style="31" bestFit="1" customWidth="1"/>
    <col min="67" max="67" width="5" style="31" bestFit="1" customWidth="1"/>
    <col min="68" max="70" width="6" style="31" bestFit="1" customWidth="1"/>
    <col min="71" max="71" width="5" style="31" bestFit="1" customWidth="1"/>
    <col min="72" max="73" width="6" style="31" bestFit="1" customWidth="1"/>
    <col min="74" max="74" width="5" style="31" bestFit="1" customWidth="1"/>
    <col min="75" max="76" width="6" style="31" bestFit="1" customWidth="1"/>
    <col min="77" max="77" width="9.33203125" style="31" bestFit="1" customWidth="1"/>
    <col min="78" max="80" width="6" style="31" bestFit="1" customWidth="1"/>
    <col min="81" max="81" width="5" style="31" bestFit="1" customWidth="1"/>
    <col min="82" max="94" width="6" style="31" bestFit="1" customWidth="1"/>
    <col min="95" max="95" width="5" style="31" bestFit="1" customWidth="1"/>
    <col min="96" max="99" width="6" style="31" bestFit="1" customWidth="1"/>
    <col min="100" max="100" width="5" style="31" bestFit="1" customWidth="1"/>
    <col min="101" max="114" width="6" style="31" bestFit="1" customWidth="1"/>
    <col min="115" max="115" width="5" style="31" bestFit="1" customWidth="1"/>
    <col min="116" max="116" width="6" style="31" bestFit="1" customWidth="1"/>
    <col min="117" max="117" width="5" style="31" bestFit="1" customWidth="1"/>
    <col min="118" max="119" width="6" style="31" bestFit="1" customWidth="1"/>
    <col min="120" max="120" width="5" style="31" bestFit="1" customWidth="1"/>
    <col min="121" max="121" width="6" style="31" bestFit="1" customWidth="1"/>
    <col min="122" max="122" width="5" style="31" bestFit="1" customWidth="1"/>
    <col min="123" max="131" width="6" style="31" bestFit="1" customWidth="1"/>
    <col min="132" max="133" width="5" style="31" bestFit="1" customWidth="1"/>
    <col min="134" max="134" width="6" style="31" bestFit="1" customWidth="1"/>
    <col min="135" max="135" width="5" style="31" bestFit="1" customWidth="1"/>
    <col min="136" max="142" width="6" style="31" bestFit="1" customWidth="1"/>
    <col min="143" max="143" width="10.6640625" style="31" bestFit="1" customWidth="1"/>
    <col min="144" max="159" width="6" style="31" bestFit="1" customWidth="1"/>
    <col min="160" max="160" width="5" style="31" bestFit="1" customWidth="1"/>
    <col min="161" max="162" width="6" style="31" bestFit="1" customWidth="1"/>
    <col min="163" max="164" width="5" style="31" bestFit="1" customWidth="1"/>
    <col min="165" max="169" width="6" style="31" bestFit="1" customWidth="1"/>
    <col min="170" max="171" width="5" style="31" bestFit="1" customWidth="1"/>
    <col min="172" max="175" width="6" style="31" bestFit="1" customWidth="1"/>
    <col min="176" max="176" width="5" style="31" bestFit="1" customWidth="1"/>
    <col min="177" max="183" width="6" style="31" bestFit="1" customWidth="1"/>
    <col min="184" max="184" width="5" style="31" bestFit="1" customWidth="1"/>
    <col min="185" max="198" width="6" style="31" bestFit="1" customWidth="1"/>
    <col min="199" max="199" width="5" style="31" bestFit="1" customWidth="1"/>
    <col min="200" max="201" width="6" style="31" bestFit="1" customWidth="1"/>
    <col min="202" max="202" width="5" style="31" bestFit="1" customWidth="1"/>
    <col min="203" max="204" width="6" style="31" bestFit="1" customWidth="1"/>
    <col min="205" max="205" width="5" style="31" bestFit="1" customWidth="1"/>
    <col min="206" max="207" width="6" style="31" bestFit="1" customWidth="1"/>
    <col min="208" max="208" width="11.33203125" style="31" bestFit="1" customWidth="1"/>
    <col min="209" max="16384" width="14.44140625" style="31"/>
  </cols>
  <sheetData>
    <row r="1" spans="1:12" s="142" customFormat="1" ht="14.4">
      <c r="A1" s="138" t="s">
        <v>432</v>
      </c>
      <c r="B1" s="139" t="s">
        <v>1</v>
      </c>
      <c r="C1" s="140" t="s">
        <v>332</v>
      </c>
      <c r="D1" s="140" t="s">
        <v>333</v>
      </c>
      <c r="E1" s="140" t="s">
        <v>334</v>
      </c>
      <c r="F1" s="141" t="s">
        <v>335</v>
      </c>
      <c r="G1" s="140" t="s">
        <v>336</v>
      </c>
      <c r="H1" s="193" t="s">
        <v>385</v>
      </c>
      <c r="I1" s="194" t="s">
        <v>442</v>
      </c>
      <c r="J1" s="145" t="s">
        <v>444</v>
      </c>
      <c r="K1" s="145" t="s">
        <v>443</v>
      </c>
    </row>
    <row r="2" spans="1:12" ht="14.4">
      <c r="A2" s="26">
        <v>45446</v>
      </c>
      <c r="B2" s="27" t="s">
        <v>14</v>
      </c>
      <c r="C2" s="28">
        <v>1402</v>
      </c>
      <c r="D2" s="28">
        <v>68</v>
      </c>
      <c r="E2" s="28">
        <v>124562</v>
      </c>
      <c r="F2" s="29">
        <v>9.92</v>
      </c>
      <c r="G2" s="28">
        <v>23125</v>
      </c>
      <c r="H2" s="131">
        <f t="shared" ref="H2:H33" si="0">(C2-D2)/E2</f>
        <v>1.0709526179733787E-2</v>
      </c>
      <c r="I2" s="111">
        <f t="shared" ref="I2:I33" si="1">C2-D2</f>
        <v>1334</v>
      </c>
      <c r="J2" s="135">
        <v>45446</v>
      </c>
      <c r="K2" s="44">
        <v>3419</v>
      </c>
      <c r="L2" s="111"/>
    </row>
    <row r="3" spans="1:12" ht="14.4">
      <c r="A3" s="26">
        <v>45446</v>
      </c>
      <c r="B3" s="27" t="s">
        <v>23</v>
      </c>
      <c r="C3" s="28">
        <v>995</v>
      </c>
      <c r="D3" s="28">
        <v>86</v>
      </c>
      <c r="E3" s="28">
        <v>227958</v>
      </c>
      <c r="F3" s="29">
        <v>8.0500000000000007</v>
      </c>
      <c r="G3" s="28">
        <v>22788</v>
      </c>
      <c r="H3" s="131">
        <f t="shared" si="0"/>
        <v>3.9875766588582107E-3</v>
      </c>
      <c r="I3" s="111">
        <f t="shared" si="1"/>
        <v>909</v>
      </c>
      <c r="J3" s="135">
        <v>45453</v>
      </c>
      <c r="K3" s="44">
        <v>2777</v>
      </c>
      <c r="L3" s="111"/>
    </row>
    <row r="4" spans="1:12" ht="14.4">
      <c r="A4" s="26">
        <v>45446</v>
      </c>
      <c r="B4" s="27" t="s">
        <v>28</v>
      </c>
      <c r="C4" s="28">
        <v>1472</v>
      </c>
      <c r="D4" s="28">
        <v>296</v>
      </c>
      <c r="E4" s="28">
        <v>370242</v>
      </c>
      <c r="F4" s="29">
        <v>7.72</v>
      </c>
      <c r="G4" s="28">
        <v>7810</v>
      </c>
      <c r="H4" s="131">
        <f t="shared" si="0"/>
        <v>3.176300905893983E-3</v>
      </c>
      <c r="I4" s="111">
        <f t="shared" si="1"/>
        <v>1176</v>
      </c>
      <c r="J4" s="135">
        <v>45460</v>
      </c>
      <c r="K4" s="44">
        <v>3175</v>
      </c>
      <c r="L4" s="111"/>
    </row>
    <row r="5" spans="1:12" ht="14.4">
      <c r="A5" s="26">
        <v>45453</v>
      </c>
      <c r="B5" s="27" t="s">
        <v>14</v>
      </c>
      <c r="C5" s="28">
        <v>1018</v>
      </c>
      <c r="D5" s="28">
        <v>90</v>
      </c>
      <c r="E5" s="28">
        <v>92474</v>
      </c>
      <c r="F5" s="29">
        <v>9.4</v>
      </c>
      <c r="G5" s="28">
        <v>11966</v>
      </c>
      <c r="H5" s="131">
        <f t="shared" si="0"/>
        <v>1.0035253152237385E-2</v>
      </c>
      <c r="I5" s="111">
        <f t="shared" si="1"/>
        <v>928</v>
      </c>
      <c r="J5" s="135">
        <v>45467</v>
      </c>
      <c r="K5" s="44">
        <v>2433</v>
      </c>
      <c r="L5" s="111"/>
    </row>
    <row r="6" spans="1:12" ht="14.4">
      <c r="A6" s="26">
        <v>45453</v>
      </c>
      <c r="B6" s="27" t="s">
        <v>23</v>
      </c>
      <c r="C6" s="28">
        <v>1461</v>
      </c>
      <c r="D6" s="28">
        <v>64</v>
      </c>
      <c r="E6" s="28">
        <v>328902</v>
      </c>
      <c r="F6" s="29">
        <v>9.02</v>
      </c>
      <c r="G6" s="28">
        <v>26298</v>
      </c>
      <c r="H6" s="131">
        <f t="shared" si="0"/>
        <v>4.247465810484582E-3</v>
      </c>
      <c r="I6" s="111">
        <f t="shared" si="1"/>
        <v>1397</v>
      </c>
      <c r="J6" s="135">
        <v>45474</v>
      </c>
      <c r="K6" s="44">
        <v>2426</v>
      </c>
      <c r="L6" s="111"/>
    </row>
    <row r="7" spans="1:12" ht="14.4">
      <c r="A7" s="26">
        <v>45453</v>
      </c>
      <c r="B7" s="27" t="s">
        <v>28</v>
      </c>
      <c r="C7" s="28">
        <v>545</v>
      </c>
      <c r="D7" s="28">
        <v>93</v>
      </c>
      <c r="E7" s="28">
        <v>391621</v>
      </c>
      <c r="F7" s="29">
        <v>9.9600000000000009</v>
      </c>
      <c r="G7" s="28">
        <v>22029</v>
      </c>
      <c r="H7" s="131">
        <f t="shared" si="0"/>
        <v>1.1541771253329111E-3</v>
      </c>
      <c r="I7" s="111">
        <f t="shared" si="1"/>
        <v>452</v>
      </c>
      <c r="J7" s="135">
        <v>45481</v>
      </c>
      <c r="K7" s="44">
        <v>3155</v>
      </c>
      <c r="L7" s="137"/>
    </row>
    <row r="8" spans="1:12" ht="14.4">
      <c r="A8" s="26">
        <v>45460</v>
      </c>
      <c r="B8" s="27" t="s">
        <v>14</v>
      </c>
      <c r="C8" s="28">
        <v>881</v>
      </c>
      <c r="D8" s="28">
        <v>291</v>
      </c>
      <c r="E8" s="28">
        <v>95885</v>
      </c>
      <c r="F8" s="29">
        <v>5.29</v>
      </c>
      <c r="G8" s="28">
        <v>12391</v>
      </c>
      <c r="H8" s="131">
        <f t="shared" si="0"/>
        <v>6.1532043593888509E-3</v>
      </c>
      <c r="I8" s="111">
        <f t="shared" si="1"/>
        <v>590</v>
      </c>
      <c r="J8" s="135">
        <v>45488</v>
      </c>
      <c r="K8" s="44">
        <v>2369</v>
      </c>
      <c r="L8" s="137"/>
    </row>
    <row r="9" spans="1:12" ht="14.4">
      <c r="A9" s="26">
        <v>45460</v>
      </c>
      <c r="B9" s="27" t="s">
        <v>23</v>
      </c>
      <c r="C9" s="28">
        <v>1414</v>
      </c>
      <c r="D9" s="28">
        <v>131</v>
      </c>
      <c r="E9" s="28">
        <v>245947</v>
      </c>
      <c r="F9" s="29">
        <v>8.3000000000000007</v>
      </c>
      <c r="G9" s="28">
        <v>14477</v>
      </c>
      <c r="H9" s="131">
        <f t="shared" si="0"/>
        <v>5.2165710498603361E-3</v>
      </c>
      <c r="I9" s="111">
        <f t="shared" si="1"/>
        <v>1283</v>
      </c>
      <c r="J9" s="135">
        <v>45495</v>
      </c>
      <c r="K9" s="44">
        <v>2281</v>
      </c>
      <c r="L9" s="111"/>
    </row>
    <row r="10" spans="1:12" ht="14.4">
      <c r="A10" s="26">
        <v>45460</v>
      </c>
      <c r="B10" s="27" t="s">
        <v>28</v>
      </c>
      <c r="C10" s="28">
        <v>1472</v>
      </c>
      <c r="D10" s="28">
        <v>170</v>
      </c>
      <c r="E10" s="28">
        <v>250428</v>
      </c>
      <c r="F10" s="29">
        <v>4.66</v>
      </c>
      <c r="G10" s="28">
        <v>25040</v>
      </c>
      <c r="H10" s="131">
        <f t="shared" si="0"/>
        <v>5.1990991422684362E-3</v>
      </c>
      <c r="I10" s="111">
        <f t="shared" si="1"/>
        <v>1302</v>
      </c>
      <c r="J10" s="135">
        <v>45502</v>
      </c>
      <c r="K10" s="44">
        <v>2132</v>
      </c>
      <c r="L10" s="111"/>
    </row>
    <row r="11" spans="1:12" ht="14.4">
      <c r="A11" s="26">
        <v>45467</v>
      </c>
      <c r="B11" s="27" t="s">
        <v>14</v>
      </c>
      <c r="C11" s="28">
        <v>809</v>
      </c>
      <c r="D11" s="28">
        <v>197</v>
      </c>
      <c r="E11" s="28">
        <v>87186</v>
      </c>
      <c r="F11" s="29">
        <v>9.48</v>
      </c>
      <c r="G11" s="28">
        <v>22619</v>
      </c>
      <c r="H11" s="131">
        <f t="shared" si="0"/>
        <v>7.0194756038813571E-3</v>
      </c>
      <c r="I11" s="111">
        <f t="shared" si="1"/>
        <v>612</v>
      </c>
      <c r="J11" s="135">
        <v>45509</v>
      </c>
      <c r="K11" s="44">
        <v>2693</v>
      </c>
      <c r="L11" s="111"/>
    </row>
    <row r="12" spans="1:12" ht="14.4">
      <c r="A12" s="26">
        <v>45467</v>
      </c>
      <c r="B12" s="27" t="s">
        <v>23</v>
      </c>
      <c r="C12" s="28">
        <v>1371</v>
      </c>
      <c r="D12" s="28">
        <v>250</v>
      </c>
      <c r="E12" s="28">
        <v>128620</v>
      </c>
      <c r="F12" s="29">
        <v>7.11</v>
      </c>
      <c r="G12" s="28">
        <v>12399</v>
      </c>
      <c r="H12" s="131">
        <f t="shared" si="0"/>
        <v>8.7155963302752298E-3</v>
      </c>
      <c r="I12" s="111">
        <f t="shared" si="1"/>
        <v>1121</v>
      </c>
      <c r="J12" s="135">
        <v>45516</v>
      </c>
      <c r="K12" s="44">
        <v>3072</v>
      </c>
      <c r="L12" s="111"/>
    </row>
    <row r="13" spans="1:12" ht="14.4">
      <c r="A13" s="26">
        <v>45467</v>
      </c>
      <c r="B13" s="27" t="s">
        <v>28</v>
      </c>
      <c r="C13" s="28">
        <v>844</v>
      </c>
      <c r="D13" s="28">
        <v>144</v>
      </c>
      <c r="E13" s="28">
        <v>126015</v>
      </c>
      <c r="F13" s="29">
        <v>9.65</v>
      </c>
      <c r="G13" s="28">
        <v>22456</v>
      </c>
      <c r="H13" s="131">
        <f t="shared" si="0"/>
        <v>5.5548942586200059E-3</v>
      </c>
      <c r="I13" s="111">
        <f t="shared" si="1"/>
        <v>700</v>
      </c>
      <c r="J13" s="135">
        <v>45523</v>
      </c>
      <c r="K13" s="44">
        <v>2300</v>
      </c>
      <c r="L13" s="111"/>
    </row>
    <row r="14" spans="1:12" ht="14.4">
      <c r="A14" s="26">
        <v>45474</v>
      </c>
      <c r="B14" s="27" t="s">
        <v>14</v>
      </c>
      <c r="C14" s="28">
        <v>786</v>
      </c>
      <c r="D14" s="28">
        <v>72</v>
      </c>
      <c r="E14" s="28">
        <v>178615</v>
      </c>
      <c r="F14" s="29">
        <v>5.43</v>
      </c>
      <c r="G14" s="28">
        <v>19328</v>
      </c>
      <c r="H14" s="131">
        <f t="shared" si="0"/>
        <v>3.9974246283906723E-3</v>
      </c>
      <c r="I14" s="111">
        <f t="shared" si="1"/>
        <v>714</v>
      </c>
      <c r="J14" s="135">
        <v>45530</v>
      </c>
      <c r="K14" s="44">
        <v>2450</v>
      </c>
      <c r="L14" s="111"/>
    </row>
    <row r="15" spans="1:12" ht="14.4">
      <c r="A15" s="26">
        <v>45474</v>
      </c>
      <c r="B15" s="27" t="s">
        <v>23</v>
      </c>
      <c r="C15" s="28">
        <v>845</v>
      </c>
      <c r="D15" s="28">
        <v>250</v>
      </c>
      <c r="E15" s="28">
        <v>218228</v>
      </c>
      <c r="F15" s="29">
        <v>4.5199999999999996</v>
      </c>
      <c r="G15" s="28">
        <v>21107</v>
      </c>
      <c r="H15" s="131">
        <f t="shared" si="0"/>
        <v>2.7265062228494967E-3</v>
      </c>
      <c r="I15" s="111">
        <f t="shared" si="1"/>
        <v>595</v>
      </c>
      <c r="J15" s="135">
        <v>45537</v>
      </c>
      <c r="K15" s="44">
        <v>2502</v>
      </c>
      <c r="L15" s="111"/>
    </row>
    <row r="16" spans="1:12" ht="14.4">
      <c r="A16" s="26">
        <v>45474</v>
      </c>
      <c r="B16" s="27" t="s">
        <v>28</v>
      </c>
      <c r="C16" s="28">
        <v>1218</v>
      </c>
      <c r="D16" s="28">
        <v>101</v>
      </c>
      <c r="E16" s="28">
        <v>300397</v>
      </c>
      <c r="F16" s="29">
        <v>4.33</v>
      </c>
      <c r="G16" s="28">
        <v>12277</v>
      </c>
      <c r="H16" s="131">
        <f t="shared" si="0"/>
        <v>3.7184126339477423E-3</v>
      </c>
      <c r="I16" s="111">
        <f t="shared" si="1"/>
        <v>1117</v>
      </c>
      <c r="J16" s="135">
        <v>45544</v>
      </c>
      <c r="K16" s="44">
        <v>2630</v>
      </c>
      <c r="L16" s="111"/>
    </row>
    <row r="17" spans="1:18" ht="14.4">
      <c r="A17" s="26">
        <v>45481</v>
      </c>
      <c r="B17" s="27" t="s">
        <v>14</v>
      </c>
      <c r="C17" s="28">
        <v>797</v>
      </c>
      <c r="D17" s="28">
        <v>130</v>
      </c>
      <c r="E17" s="28">
        <v>340121</v>
      </c>
      <c r="F17" s="29">
        <v>8.52</v>
      </c>
      <c r="G17" s="28">
        <v>11684</v>
      </c>
      <c r="H17" s="131">
        <f t="shared" si="0"/>
        <v>1.9610667968164271E-3</v>
      </c>
      <c r="I17" s="111">
        <f t="shared" si="1"/>
        <v>667</v>
      </c>
      <c r="J17" s="135">
        <v>45551</v>
      </c>
      <c r="K17" s="44">
        <v>2162</v>
      </c>
      <c r="L17" s="111"/>
    </row>
    <row r="18" spans="1:18" ht="14.4">
      <c r="A18" s="26">
        <v>45481</v>
      </c>
      <c r="B18" s="27" t="s">
        <v>23</v>
      </c>
      <c r="C18" s="28">
        <v>1471</v>
      </c>
      <c r="D18" s="28">
        <v>100</v>
      </c>
      <c r="E18" s="28">
        <v>76866</v>
      </c>
      <c r="F18" s="29">
        <v>8.5500000000000007</v>
      </c>
      <c r="G18" s="28">
        <v>14412</v>
      </c>
      <c r="H18" s="131">
        <f t="shared" si="0"/>
        <v>1.7836234485988603E-2</v>
      </c>
      <c r="I18" s="111">
        <f t="shared" si="1"/>
        <v>1371</v>
      </c>
      <c r="J18" s="135">
        <v>45558</v>
      </c>
      <c r="K18" s="44">
        <v>2785</v>
      </c>
      <c r="L18" s="111"/>
    </row>
    <row r="19" spans="1:18" ht="14.4">
      <c r="A19" s="26">
        <v>45481</v>
      </c>
      <c r="B19" s="27" t="s">
        <v>28</v>
      </c>
      <c r="C19" s="28">
        <v>1253</v>
      </c>
      <c r="D19" s="28">
        <v>136</v>
      </c>
      <c r="E19" s="28">
        <v>193131</v>
      </c>
      <c r="F19" s="29">
        <v>7.99</v>
      </c>
      <c r="G19" s="28">
        <v>15924</v>
      </c>
      <c r="H19" s="131">
        <f t="shared" si="0"/>
        <v>5.7836390843520723E-3</v>
      </c>
      <c r="I19" s="111">
        <f t="shared" si="1"/>
        <v>1117</v>
      </c>
      <c r="J19" s="135">
        <v>45565</v>
      </c>
      <c r="K19" s="44">
        <v>3151</v>
      </c>
      <c r="L19" s="111"/>
    </row>
    <row r="20" spans="1:18" ht="14.4">
      <c r="A20" s="26">
        <v>45488</v>
      </c>
      <c r="B20" s="27" t="s">
        <v>14</v>
      </c>
      <c r="C20" s="28">
        <v>616</v>
      </c>
      <c r="D20" s="28">
        <v>257</v>
      </c>
      <c r="E20" s="28">
        <v>169665</v>
      </c>
      <c r="F20" s="29">
        <v>6.31</v>
      </c>
      <c r="G20" s="28">
        <v>12390</v>
      </c>
      <c r="H20" s="131">
        <f t="shared" si="0"/>
        <v>2.1159343412017798E-3</v>
      </c>
      <c r="I20" s="111">
        <f t="shared" si="1"/>
        <v>359</v>
      </c>
      <c r="J20" s="135">
        <v>45572</v>
      </c>
      <c r="K20" s="44">
        <v>2338</v>
      </c>
      <c r="L20" s="111"/>
    </row>
    <row r="21" spans="1:18" ht="15.75" customHeight="1">
      <c r="A21" s="26">
        <v>45488</v>
      </c>
      <c r="B21" s="27" t="s">
        <v>23</v>
      </c>
      <c r="C21" s="28">
        <v>1308</v>
      </c>
      <c r="D21" s="28">
        <v>210</v>
      </c>
      <c r="E21" s="28">
        <v>263729</v>
      </c>
      <c r="F21" s="29">
        <v>8.5299999999999994</v>
      </c>
      <c r="G21" s="28">
        <v>25742</v>
      </c>
      <c r="H21" s="131">
        <f t="shared" si="0"/>
        <v>4.1633646660018432E-3</v>
      </c>
      <c r="I21" s="111">
        <f t="shared" si="1"/>
        <v>1098</v>
      </c>
      <c r="J21" s="135">
        <v>45579</v>
      </c>
      <c r="K21" s="44">
        <v>2670</v>
      </c>
      <c r="L21" s="111"/>
    </row>
    <row r="22" spans="1:18" ht="15.75" customHeight="1">
      <c r="A22" s="26">
        <v>45488</v>
      </c>
      <c r="B22" s="27" t="s">
        <v>28</v>
      </c>
      <c r="C22" s="28">
        <v>981</v>
      </c>
      <c r="D22" s="28">
        <v>69</v>
      </c>
      <c r="E22" s="28">
        <v>206921</v>
      </c>
      <c r="F22" s="29">
        <v>8.42</v>
      </c>
      <c r="G22" s="28">
        <v>10495</v>
      </c>
      <c r="H22" s="131">
        <f t="shared" si="0"/>
        <v>4.4074791828765565E-3</v>
      </c>
      <c r="I22" s="111">
        <f t="shared" si="1"/>
        <v>912</v>
      </c>
      <c r="J22" s="135">
        <v>45586</v>
      </c>
      <c r="K22" s="44">
        <v>2792</v>
      </c>
      <c r="L22" s="111"/>
    </row>
    <row r="23" spans="1:18" ht="15.75" customHeight="1">
      <c r="A23" s="26">
        <v>45495</v>
      </c>
      <c r="B23" s="27" t="s">
        <v>14</v>
      </c>
      <c r="C23" s="28">
        <v>866</v>
      </c>
      <c r="D23" s="28">
        <v>74</v>
      </c>
      <c r="E23" s="28">
        <v>204121</v>
      </c>
      <c r="F23" s="29">
        <v>9.34</v>
      </c>
      <c r="G23" s="28">
        <v>7797</v>
      </c>
      <c r="H23" s="131">
        <f t="shared" si="0"/>
        <v>3.8800515380583087E-3</v>
      </c>
      <c r="I23" s="111">
        <f t="shared" si="1"/>
        <v>792</v>
      </c>
      <c r="J23" s="135">
        <v>45593</v>
      </c>
      <c r="K23" s="44">
        <v>2181</v>
      </c>
      <c r="L23" s="111"/>
    </row>
    <row r="24" spans="1:18" ht="15.75" customHeight="1">
      <c r="A24" s="26">
        <v>45495</v>
      </c>
      <c r="B24" s="27" t="s">
        <v>23</v>
      </c>
      <c r="C24" s="28">
        <v>547</v>
      </c>
      <c r="D24" s="28">
        <v>183</v>
      </c>
      <c r="E24" s="28">
        <v>266350</v>
      </c>
      <c r="F24" s="29">
        <v>5.65</v>
      </c>
      <c r="G24" s="28">
        <v>15595</v>
      </c>
      <c r="H24" s="131">
        <f t="shared" si="0"/>
        <v>1.3666228646517741E-3</v>
      </c>
      <c r="I24" s="111">
        <f t="shared" si="1"/>
        <v>364</v>
      </c>
      <c r="J24" s="135">
        <v>45600</v>
      </c>
      <c r="K24" s="44">
        <v>3576</v>
      </c>
      <c r="L24" s="111"/>
    </row>
    <row r="25" spans="1:18" ht="15.75" customHeight="1">
      <c r="A25" s="26">
        <v>45495</v>
      </c>
      <c r="B25" s="27" t="s">
        <v>28</v>
      </c>
      <c r="C25" s="28">
        <v>1241</v>
      </c>
      <c r="D25" s="28">
        <v>116</v>
      </c>
      <c r="E25" s="28">
        <v>380606</v>
      </c>
      <c r="F25" s="29">
        <v>4.2</v>
      </c>
      <c r="G25" s="28">
        <v>24617</v>
      </c>
      <c r="H25" s="131">
        <f t="shared" si="0"/>
        <v>2.9558125725816196E-3</v>
      </c>
      <c r="I25" s="111">
        <f t="shared" si="1"/>
        <v>1125</v>
      </c>
      <c r="J25" s="135">
        <v>45607</v>
      </c>
      <c r="K25" s="44">
        <v>2794</v>
      </c>
      <c r="L25" s="111"/>
      <c r="Q25" s="48"/>
      <c r="R25" s="48"/>
    </row>
    <row r="26" spans="1:18" ht="15.75" customHeight="1">
      <c r="A26" s="26">
        <v>45502</v>
      </c>
      <c r="B26" s="27" t="s">
        <v>14</v>
      </c>
      <c r="C26" s="28">
        <v>973</v>
      </c>
      <c r="D26" s="28">
        <v>104</v>
      </c>
      <c r="E26" s="28">
        <v>376358</v>
      </c>
      <c r="F26" s="29">
        <v>3.87</v>
      </c>
      <c r="G26" s="28">
        <v>9847</v>
      </c>
      <c r="H26" s="131">
        <f t="shared" si="0"/>
        <v>2.3089717768720206E-3</v>
      </c>
      <c r="I26" s="111">
        <f t="shared" si="1"/>
        <v>869</v>
      </c>
      <c r="J26" s="135">
        <v>45614</v>
      </c>
      <c r="K26" s="44">
        <v>1935</v>
      </c>
      <c r="L26" s="111"/>
      <c r="Q26" s="48"/>
      <c r="R26" s="48"/>
    </row>
    <row r="27" spans="1:18" ht="15.75" customHeight="1">
      <c r="A27" s="26">
        <v>45502</v>
      </c>
      <c r="B27" s="27" t="s">
        <v>23</v>
      </c>
      <c r="C27" s="28">
        <v>611</v>
      </c>
      <c r="D27" s="28">
        <v>197</v>
      </c>
      <c r="E27" s="28">
        <v>79423</v>
      </c>
      <c r="F27" s="29">
        <v>5.82</v>
      </c>
      <c r="G27" s="28">
        <v>13644</v>
      </c>
      <c r="H27" s="131">
        <f t="shared" si="0"/>
        <v>5.2125958475504573E-3</v>
      </c>
      <c r="I27" s="111">
        <f t="shared" si="1"/>
        <v>414</v>
      </c>
      <c r="J27" s="135">
        <v>45621</v>
      </c>
      <c r="K27" s="44">
        <v>2287</v>
      </c>
      <c r="L27" s="111"/>
    </row>
    <row r="28" spans="1:18" ht="15.75" customHeight="1">
      <c r="A28" s="26">
        <v>45502</v>
      </c>
      <c r="B28" s="27" t="s">
        <v>28</v>
      </c>
      <c r="C28" s="28">
        <v>983</v>
      </c>
      <c r="D28" s="28">
        <v>134</v>
      </c>
      <c r="E28" s="28">
        <v>352178</v>
      </c>
      <c r="F28" s="29">
        <v>3.55</v>
      </c>
      <c r="G28" s="28">
        <v>11421</v>
      </c>
      <c r="H28" s="131">
        <f t="shared" si="0"/>
        <v>2.4107127645679174E-3</v>
      </c>
      <c r="I28" s="111">
        <f t="shared" si="1"/>
        <v>849</v>
      </c>
      <c r="J28" s="135">
        <v>45628</v>
      </c>
      <c r="K28" s="44">
        <v>2383</v>
      </c>
      <c r="L28" s="111"/>
    </row>
    <row r="29" spans="1:18" ht="15.75" customHeight="1">
      <c r="A29" s="26">
        <v>45509</v>
      </c>
      <c r="B29" s="27" t="s">
        <v>14</v>
      </c>
      <c r="C29" s="28">
        <v>1449</v>
      </c>
      <c r="D29" s="28">
        <v>96</v>
      </c>
      <c r="E29" s="28">
        <v>200636</v>
      </c>
      <c r="F29" s="29">
        <v>9.92</v>
      </c>
      <c r="G29" s="28">
        <v>15613</v>
      </c>
      <c r="H29" s="131">
        <f t="shared" si="0"/>
        <v>6.7435554935305723E-3</v>
      </c>
      <c r="I29" s="111">
        <f t="shared" si="1"/>
        <v>1353</v>
      </c>
      <c r="J29" s="135">
        <v>45635</v>
      </c>
      <c r="K29" s="44">
        <v>1398</v>
      </c>
      <c r="L29" s="111"/>
    </row>
    <row r="30" spans="1:18" ht="15.75" customHeight="1">
      <c r="A30" s="26">
        <v>45509</v>
      </c>
      <c r="B30" s="27" t="s">
        <v>23</v>
      </c>
      <c r="C30" s="28">
        <v>752</v>
      </c>
      <c r="D30" s="28">
        <v>170</v>
      </c>
      <c r="E30" s="28">
        <v>132756</v>
      </c>
      <c r="F30" s="29">
        <v>8.17</v>
      </c>
      <c r="G30" s="28">
        <v>23900</v>
      </c>
      <c r="H30" s="131">
        <f t="shared" si="0"/>
        <v>4.3839826448522105E-3</v>
      </c>
      <c r="I30" s="111">
        <f t="shared" si="1"/>
        <v>582</v>
      </c>
      <c r="J30" s="135">
        <v>45642</v>
      </c>
      <c r="K30" s="44">
        <v>2693</v>
      </c>
      <c r="L30" s="111"/>
      <c r="Q30" s="48"/>
      <c r="R30" s="48"/>
    </row>
    <row r="31" spans="1:18" ht="15.75" customHeight="1">
      <c r="A31" s="26">
        <v>45509</v>
      </c>
      <c r="B31" s="27" t="s">
        <v>28</v>
      </c>
      <c r="C31" s="28">
        <v>937</v>
      </c>
      <c r="D31" s="28">
        <v>179</v>
      </c>
      <c r="E31" s="28">
        <v>318098</v>
      </c>
      <c r="F31" s="29">
        <v>5.3</v>
      </c>
      <c r="G31" s="28">
        <v>5836</v>
      </c>
      <c r="H31" s="131">
        <f t="shared" si="0"/>
        <v>2.3829134417695176E-3</v>
      </c>
      <c r="I31" s="111">
        <f t="shared" si="1"/>
        <v>758</v>
      </c>
      <c r="J31" s="135">
        <v>45649</v>
      </c>
      <c r="K31" s="44">
        <v>2550</v>
      </c>
      <c r="L31" s="111"/>
      <c r="Q31" s="48"/>
      <c r="R31" s="48"/>
    </row>
    <row r="32" spans="1:18" ht="15.75" customHeight="1">
      <c r="A32" s="26">
        <v>45516</v>
      </c>
      <c r="B32" s="27" t="s">
        <v>14</v>
      </c>
      <c r="C32" s="28">
        <v>1060</v>
      </c>
      <c r="D32" s="28">
        <v>83</v>
      </c>
      <c r="E32" s="28">
        <v>68724</v>
      </c>
      <c r="F32" s="29">
        <v>5.98</v>
      </c>
      <c r="G32" s="28">
        <v>5624</v>
      </c>
      <c r="H32" s="131">
        <f t="shared" si="0"/>
        <v>1.4216285431581398E-2</v>
      </c>
      <c r="I32" s="111">
        <f t="shared" si="1"/>
        <v>977</v>
      </c>
      <c r="J32" s="135">
        <v>45656</v>
      </c>
      <c r="K32" s="44">
        <v>2337</v>
      </c>
      <c r="L32" s="111"/>
    </row>
    <row r="33" spans="1:208" ht="15.75" customHeight="1">
      <c r="A33" s="26">
        <v>45516</v>
      </c>
      <c r="B33" s="27" t="s">
        <v>23</v>
      </c>
      <c r="C33" s="28">
        <v>1456</v>
      </c>
      <c r="D33" s="28">
        <v>265</v>
      </c>
      <c r="E33" s="28">
        <v>115505</v>
      </c>
      <c r="F33" s="29">
        <v>7.49</v>
      </c>
      <c r="G33" s="28">
        <v>10311</v>
      </c>
      <c r="H33" s="131">
        <f t="shared" si="0"/>
        <v>1.031124193757846E-2</v>
      </c>
      <c r="I33" s="111">
        <f t="shared" si="1"/>
        <v>1191</v>
      </c>
      <c r="J33" s="135">
        <v>45663</v>
      </c>
      <c r="K33" s="44">
        <v>2451</v>
      </c>
      <c r="L33" s="111"/>
    </row>
    <row r="34" spans="1:208" ht="15.75" customHeight="1">
      <c r="A34" s="26">
        <v>45516</v>
      </c>
      <c r="B34" s="27" t="s">
        <v>28</v>
      </c>
      <c r="C34" s="28">
        <v>1109</v>
      </c>
      <c r="D34" s="28">
        <v>205</v>
      </c>
      <c r="E34" s="28">
        <v>276722</v>
      </c>
      <c r="F34" s="29">
        <v>9.3800000000000008</v>
      </c>
      <c r="G34" s="28">
        <v>8274</v>
      </c>
      <c r="H34" s="131">
        <f t="shared" ref="H34:H65" si="2">(C34-D34)/E34</f>
        <v>3.2668165162148292E-3</v>
      </c>
      <c r="I34" s="111">
        <f t="shared" ref="I34:I65" si="3">C34-D34</f>
        <v>904</v>
      </c>
      <c r="J34" s="135">
        <v>45670</v>
      </c>
      <c r="K34" s="44">
        <v>2341</v>
      </c>
      <c r="L34" s="111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</row>
    <row r="35" spans="1:208" ht="15.75" customHeight="1">
      <c r="A35" s="26">
        <v>45523</v>
      </c>
      <c r="B35" s="27" t="s">
        <v>14</v>
      </c>
      <c r="C35" s="28">
        <v>1002</v>
      </c>
      <c r="D35" s="28">
        <v>93</v>
      </c>
      <c r="E35" s="28">
        <v>353538</v>
      </c>
      <c r="F35" s="29">
        <v>5.84</v>
      </c>
      <c r="G35" s="28">
        <v>6031</v>
      </c>
      <c r="H35" s="131">
        <f t="shared" si="2"/>
        <v>2.5711521816608116E-3</v>
      </c>
      <c r="I35" s="111">
        <f t="shared" si="3"/>
        <v>909</v>
      </c>
      <c r="J35" s="135">
        <v>45677</v>
      </c>
      <c r="K35" s="44">
        <v>1832</v>
      </c>
      <c r="L35" s="111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</row>
    <row r="36" spans="1:208" ht="15.75" customHeight="1">
      <c r="A36" s="26">
        <v>45523</v>
      </c>
      <c r="B36" s="27" t="s">
        <v>23</v>
      </c>
      <c r="C36" s="28">
        <v>571</v>
      </c>
      <c r="D36" s="28">
        <v>189</v>
      </c>
      <c r="E36" s="28">
        <v>61445</v>
      </c>
      <c r="F36" s="29">
        <v>5.41</v>
      </c>
      <c r="G36" s="28">
        <v>27829</v>
      </c>
      <c r="H36" s="131">
        <f t="shared" si="2"/>
        <v>6.2169419806330862E-3</v>
      </c>
      <c r="I36" s="111">
        <f t="shared" si="3"/>
        <v>382</v>
      </c>
      <c r="J36" s="135">
        <v>45684</v>
      </c>
      <c r="K36" s="44">
        <v>1928</v>
      </c>
      <c r="L36" s="111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</row>
    <row r="37" spans="1:208" ht="15.75" customHeight="1">
      <c r="A37" s="26">
        <v>45523</v>
      </c>
      <c r="B37" s="27" t="s">
        <v>28</v>
      </c>
      <c r="C37" s="28">
        <v>1240</v>
      </c>
      <c r="D37" s="28">
        <v>231</v>
      </c>
      <c r="E37" s="28">
        <v>165035</v>
      </c>
      <c r="F37" s="29">
        <v>6.05</v>
      </c>
      <c r="G37" s="28">
        <v>18267</v>
      </c>
      <c r="H37" s="131">
        <f t="shared" si="2"/>
        <v>6.1138546368952043E-3</v>
      </c>
      <c r="I37" s="111">
        <f t="shared" si="3"/>
        <v>1009</v>
      </c>
      <c r="J37" s="135">
        <v>45691</v>
      </c>
      <c r="K37" s="44">
        <v>1680</v>
      </c>
      <c r="L37" s="111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</row>
    <row r="38" spans="1:208" ht="15.75" customHeight="1">
      <c r="A38" s="26">
        <v>45530</v>
      </c>
      <c r="B38" s="27" t="s">
        <v>14</v>
      </c>
      <c r="C38" s="28">
        <v>1154</v>
      </c>
      <c r="D38" s="28">
        <v>132</v>
      </c>
      <c r="E38" s="28">
        <v>194595</v>
      </c>
      <c r="F38" s="29">
        <v>7.54</v>
      </c>
      <c r="G38" s="28">
        <v>26624</v>
      </c>
      <c r="H38" s="131">
        <f t="shared" si="2"/>
        <v>5.2519335029163131E-3</v>
      </c>
      <c r="I38" s="111">
        <f t="shared" si="3"/>
        <v>1022</v>
      </c>
      <c r="J38" s="135">
        <v>45698</v>
      </c>
      <c r="K38" s="44">
        <v>2361</v>
      </c>
      <c r="L38" s="111"/>
      <c r="Q38"/>
      <c r="R38"/>
    </row>
    <row r="39" spans="1:208" ht="15.75" customHeight="1">
      <c r="A39" s="26">
        <v>45530</v>
      </c>
      <c r="B39" s="27" t="s">
        <v>23</v>
      </c>
      <c r="C39" s="28">
        <v>537</v>
      </c>
      <c r="D39" s="28">
        <v>275</v>
      </c>
      <c r="E39" s="28">
        <v>236238</v>
      </c>
      <c r="F39" s="29">
        <v>5.87</v>
      </c>
      <c r="G39" s="28">
        <v>26644</v>
      </c>
      <c r="H39" s="131">
        <f t="shared" si="2"/>
        <v>1.1090510417460359E-3</v>
      </c>
      <c r="I39" s="111">
        <f t="shared" si="3"/>
        <v>262</v>
      </c>
      <c r="J39" s="135">
        <v>45705</v>
      </c>
      <c r="K39" s="44">
        <v>1543</v>
      </c>
      <c r="L39" s="111"/>
      <c r="Q39"/>
      <c r="R39"/>
    </row>
    <row r="40" spans="1:208" ht="15.75" customHeight="1">
      <c r="A40" s="26">
        <v>45530</v>
      </c>
      <c r="B40" s="27" t="s">
        <v>28</v>
      </c>
      <c r="C40" s="28">
        <v>1456</v>
      </c>
      <c r="D40" s="28">
        <v>290</v>
      </c>
      <c r="E40" s="28">
        <v>271044</v>
      </c>
      <c r="F40" s="29">
        <v>7.17</v>
      </c>
      <c r="G40" s="28">
        <v>13051</v>
      </c>
      <c r="H40" s="131">
        <f t="shared" si="2"/>
        <v>4.3018845648676966E-3</v>
      </c>
      <c r="I40" s="111">
        <f t="shared" si="3"/>
        <v>1166</v>
      </c>
      <c r="J40" s="135">
        <v>45712</v>
      </c>
      <c r="K40" s="44">
        <v>1713</v>
      </c>
      <c r="L40" s="111"/>
      <c r="Q40"/>
      <c r="R40"/>
    </row>
    <row r="41" spans="1:208" ht="15.75" customHeight="1">
      <c r="A41" s="26">
        <v>45537</v>
      </c>
      <c r="B41" s="27" t="s">
        <v>14</v>
      </c>
      <c r="C41" s="28">
        <v>721</v>
      </c>
      <c r="D41" s="28">
        <v>206</v>
      </c>
      <c r="E41" s="28">
        <v>334887</v>
      </c>
      <c r="F41" s="29">
        <v>6.05</v>
      </c>
      <c r="G41" s="28">
        <v>14217</v>
      </c>
      <c r="H41" s="131">
        <f t="shared" si="2"/>
        <v>1.5378321642822803E-3</v>
      </c>
      <c r="I41" s="111">
        <f t="shared" si="3"/>
        <v>515</v>
      </c>
      <c r="J41" s="135">
        <v>45719</v>
      </c>
      <c r="K41" s="44">
        <v>2763</v>
      </c>
      <c r="L41" s="111"/>
      <c r="Q41"/>
      <c r="R41"/>
    </row>
    <row r="42" spans="1:208" ht="15.75" customHeight="1">
      <c r="A42" s="26">
        <v>45537</v>
      </c>
      <c r="B42" s="27" t="s">
        <v>23</v>
      </c>
      <c r="C42" s="28">
        <v>1098</v>
      </c>
      <c r="D42" s="28">
        <v>142</v>
      </c>
      <c r="E42" s="28">
        <v>359150</v>
      </c>
      <c r="F42" s="29">
        <v>7.51</v>
      </c>
      <c r="G42" s="28">
        <v>16385</v>
      </c>
      <c r="H42" s="131">
        <f t="shared" si="2"/>
        <v>2.6618404566337186E-3</v>
      </c>
      <c r="I42" s="111">
        <f t="shared" si="3"/>
        <v>956</v>
      </c>
      <c r="J42" s="135">
        <v>45726</v>
      </c>
      <c r="K42" s="44">
        <v>2315</v>
      </c>
      <c r="L42" s="111"/>
      <c r="Q42"/>
      <c r="R42"/>
    </row>
    <row r="43" spans="1:208" ht="15.75" customHeight="1">
      <c r="A43" s="26">
        <v>45537</v>
      </c>
      <c r="B43" s="27" t="s">
        <v>28</v>
      </c>
      <c r="C43" s="28">
        <v>1096</v>
      </c>
      <c r="D43" s="28">
        <v>65</v>
      </c>
      <c r="E43" s="28">
        <v>358295</v>
      </c>
      <c r="F43" s="29">
        <v>7.66</v>
      </c>
      <c r="G43" s="28">
        <v>24548</v>
      </c>
      <c r="H43" s="131">
        <f t="shared" si="2"/>
        <v>2.8775171297394605E-3</v>
      </c>
      <c r="I43" s="111">
        <f t="shared" si="3"/>
        <v>1031</v>
      </c>
      <c r="J43" s="135">
        <v>45733</v>
      </c>
      <c r="K43" s="44">
        <v>2188</v>
      </c>
      <c r="L43" s="111"/>
      <c r="Q43"/>
      <c r="R43"/>
    </row>
    <row r="44" spans="1:208" ht="15.75" customHeight="1">
      <c r="A44" s="26">
        <v>45544</v>
      </c>
      <c r="B44" s="27" t="s">
        <v>14</v>
      </c>
      <c r="C44" s="28">
        <v>912</v>
      </c>
      <c r="D44" s="28">
        <v>275</v>
      </c>
      <c r="E44" s="28">
        <v>368454</v>
      </c>
      <c r="F44" s="29">
        <v>6.03</v>
      </c>
      <c r="G44" s="28">
        <v>9195</v>
      </c>
      <c r="H44" s="131">
        <f t="shared" si="2"/>
        <v>1.7288453918263881E-3</v>
      </c>
      <c r="I44" s="111">
        <f t="shared" si="3"/>
        <v>637</v>
      </c>
      <c r="J44" s="135">
        <v>45740</v>
      </c>
      <c r="K44" s="44">
        <v>2679</v>
      </c>
      <c r="L44" s="111"/>
      <c r="Q44"/>
      <c r="R44"/>
    </row>
    <row r="45" spans="1:208" ht="15.75" customHeight="1">
      <c r="A45" s="26">
        <v>45544</v>
      </c>
      <c r="B45" s="27" t="s">
        <v>23</v>
      </c>
      <c r="C45" s="28">
        <v>1430</v>
      </c>
      <c r="D45" s="28">
        <v>162</v>
      </c>
      <c r="E45" s="28">
        <v>269082</v>
      </c>
      <c r="F45" s="29">
        <v>3.4</v>
      </c>
      <c r="G45" s="28">
        <v>18071</v>
      </c>
      <c r="H45" s="131">
        <f t="shared" si="2"/>
        <v>4.7123181781018424E-3</v>
      </c>
      <c r="I45" s="111">
        <f t="shared" si="3"/>
        <v>1268</v>
      </c>
      <c r="J45" s="135">
        <v>45747</v>
      </c>
      <c r="K45" s="44">
        <v>2781</v>
      </c>
      <c r="L45" s="111"/>
      <c r="Q45"/>
      <c r="R45"/>
    </row>
    <row r="46" spans="1:208" ht="15.75" customHeight="1">
      <c r="A46" s="26">
        <v>45544</v>
      </c>
      <c r="B46" s="27" t="s">
        <v>28</v>
      </c>
      <c r="C46" s="28">
        <v>854</v>
      </c>
      <c r="D46" s="28">
        <v>129</v>
      </c>
      <c r="E46" s="28">
        <v>310903</v>
      </c>
      <c r="F46" s="29">
        <v>7.83</v>
      </c>
      <c r="G46" s="28">
        <v>16875</v>
      </c>
      <c r="H46" s="131">
        <f t="shared" si="2"/>
        <v>2.3319170287838973E-3</v>
      </c>
      <c r="I46" s="111">
        <f t="shared" si="3"/>
        <v>725</v>
      </c>
      <c r="J46" s="135">
        <v>45754</v>
      </c>
      <c r="K46" s="44">
        <v>3291</v>
      </c>
      <c r="L46" s="111"/>
      <c r="Q46"/>
      <c r="R46"/>
    </row>
    <row r="47" spans="1:208" ht="15.75" customHeight="1">
      <c r="A47" s="26">
        <v>45551</v>
      </c>
      <c r="B47" s="27" t="s">
        <v>14</v>
      </c>
      <c r="C47" s="28">
        <v>681</v>
      </c>
      <c r="D47" s="28">
        <v>210</v>
      </c>
      <c r="E47" s="28">
        <v>248581</v>
      </c>
      <c r="F47" s="29">
        <v>8.76</v>
      </c>
      <c r="G47" s="28">
        <v>9567</v>
      </c>
      <c r="H47" s="131">
        <f t="shared" si="2"/>
        <v>1.8947546272643525E-3</v>
      </c>
      <c r="I47" s="111">
        <f t="shared" si="3"/>
        <v>471</v>
      </c>
      <c r="J47" s="135">
        <v>45761</v>
      </c>
      <c r="K47" s="44">
        <v>3216</v>
      </c>
      <c r="L47" s="111"/>
      <c r="Q47"/>
      <c r="R47"/>
    </row>
    <row r="48" spans="1:208" ht="15.75" customHeight="1">
      <c r="A48" s="26">
        <v>45551</v>
      </c>
      <c r="B48" s="27" t="s">
        <v>23</v>
      </c>
      <c r="C48" s="28">
        <v>1373</v>
      </c>
      <c r="D48" s="28">
        <v>82</v>
      </c>
      <c r="E48" s="28">
        <v>371015</v>
      </c>
      <c r="F48" s="29">
        <v>9.52</v>
      </c>
      <c r="G48" s="28">
        <v>20306</v>
      </c>
      <c r="H48" s="131">
        <f t="shared" si="2"/>
        <v>3.4796436801746559E-3</v>
      </c>
      <c r="I48" s="111">
        <f t="shared" si="3"/>
        <v>1291</v>
      </c>
      <c r="J48" s="135">
        <v>45768</v>
      </c>
      <c r="K48" s="44">
        <v>1728</v>
      </c>
      <c r="L48" s="111"/>
      <c r="Q48"/>
      <c r="R48"/>
    </row>
    <row r="49" spans="1:18" ht="15.75" customHeight="1">
      <c r="A49" s="26">
        <v>45551</v>
      </c>
      <c r="B49" s="27" t="s">
        <v>28</v>
      </c>
      <c r="C49" s="28">
        <v>685</v>
      </c>
      <c r="D49" s="28">
        <v>285</v>
      </c>
      <c r="E49" s="28">
        <v>177452</v>
      </c>
      <c r="F49" s="29">
        <v>3.36</v>
      </c>
      <c r="G49" s="28">
        <v>21134</v>
      </c>
      <c r="H49" s="131">
        <f t="shared" si="2"/>
        <v>2.2541306944976669E-3</v>
      </c>
      <c r="I49" s="111">
        <f t="shared" si="3"/>
        <v>400</v>
      </c>
      <c r="J49" s="135">
        <v>45775</v>
      </c>
      <c r="K49" s="44">
        <v>2378</v>
      </c>
      <c r="L49" s="111"/>
      <c r="Q49"/>
      <c r="R49"/>
    </row>
    <row r="50" spans="1:18" ht="15.75" customHeight="1">
      <c r="A50" s="26">
        <v>45558</v>
      </c>
      <c r="B50" s="27" t="s">
        <v>14</v>
      </c>
      <c r="C50" s="28">
        <v>1290</v>
      </c>
      <c r="D50" s="28">
        <v>177</v>
      </c>
      <c r="E50" s="28">
        <v>80745</v>
      </c>
      <c r="F50" s="29">
        <v>9.2200000000000006</v>
      </c>
      <c r="G50" s="28">
        <v>26872</v>
      </c>
      <c r="H50" s="131">
        <f t="shared" si="2"/>
        <v>1.3784135240572171E-2</v>
      </c>
      <c r="I50" s="111">
        <f t="shared" si="3"/>
        <v>1113</v>
      </c>
      <c r="J50" s="135">
        <v>45782</v>
      </c>
      <c r="K50" s="44">
        <v>2054</v>
      </c>
      <c r="L50" s="111"/>
      <c r="Q50"/>
      <c r="R50"/>
    </row>
    <row r="51" spans="1:18" ht="15.75" customHeight="1">
      <c r="A51" s="26">
        <v>45558</v>
      </c>
      <c r="B51" s="27" t="s">
        <v>23</v>
      </c>
      <c r="C51" s="28">
        <v>1437</v>
      </c>
      <c r="D51" s="28">
        <v>239</v>
      </c>
      <c r="E51" s="28">
        <v>362441</v>
      </c>
      <c r="F51" s="29">
        <v>5.57</v>
      </c>
      <c r="G51" s="28">
        <v>10253</v>
      </c>
      <c r="H51" s="131">
        <f t="shared" si="2"/>
        <v>3.305365562946797E-3</v>
      </c>
      <c r="I51" s="111">
        <f t="shared" si="3"/>
        <v>1198</v>
      </c>
      <c r="J51" s="135">
        <v>45789</v>
      </c>
      <c r="K51" s="44">
        <v>1400</v>
      </c>
      <c r="L51" s="111"/>
      <c r="Q51"/>
      <c r="R51"/>
    </row>
    <row r="52" spans="1:18" ht="15.75" customHeight="1">
      <c r="A52" s="26">
        <v>45558</v>
      </c>
      <c r="B52" s="27" t="s">
        <v>28</v>
      </c>
      <c r="C52" s="28">
        <v>769</v>
      </c>
      <c r="D52" s="28">
        <v>295</v>
      </c>
      <c r="E52" s="28">
        <v>344771</v>
      </c>
      <c r="F52" s="29">
        <v>8.06</v>
      </c>
      <c r="G52" s="28">
        <v>23963</v>
      </c>
      <c r="H52" s="131">
        <f t="shared" si="2"/>
        <v>1.3748256088824177E-3</v>
      </c>
      <c r="I52" s="111">
        <f t="shared" si="3"/>
        <v>474</v>
      </c>
      <c r="J52" s="135">
        <v>45796</v>
      </c>
      <c r="K52" s="44">
        <v>3569</v>
      </c>
      <c r="L52" s="111"/>
      <c r="Q52"/>
      <c r="R52"/>
    </row>
    <row r="53" spans="1:18" ht="15.75" customHeight="1">
      <c r="A53" s="26">
        <v>45565</v>
      </c>
      <c r="B53" s="27" t="s">
        <v>14</v>
      </c>
      <c r="C53" s="28">
        <v>1416</v>
      </c>
      <c r="D53" s="28">
        <v>284</v>
      </c>
      <c r="E53" s="28">
        <v>374952</v>
      </c>
      <c r="F53" s="29">
        <v>3.45</v>
      </c>
      <c r="G53" s="28">
        <v>11335</v>
      </c>
      <c r="H53" s="131">
        <f t="shared" si="2"/>
        <v>3.0190531054641659E-3</v>
      </c>
      <c r="I53" s="111">
        <f t="shared" si="3"/>
        <v>1132</v>
      </c>
      <c r="J53" s="135">
        <v>45803</v>
      </c>
      <c r="K53" s="44">
        <v>2909</v>
      </c>
      <c r="L53" s="111"/>
      <c r="Q53"/>
      <c r="R53"/>
    </row>
    <row r="54" spans="1:18" ht="15.75" customHeight="1">
      <c r="A54" s="26">
        <v>45565</v>
      </c>
      <c r="B54" s="27" t="s">
        <v>23</v>
      </c>
      <c r="C54" s="28">
        <v>998</v>
      </c>
      <c r="D54" s="28">
        <v>154</v>
      </c>
      <c r="E54" s="28">
        <v>179781</v>
      </c>
      <c r="F54" s="29">
        <v>9.58</v>
      </c>
      <c r="G54" s="28">
        <v>12115</v>
      </c>
      <c r="H54" s="131">
        <f t="shared" si="2"/>
        <v>4.6946006530167259E-3</v>
      </c>
      <c r="I54" s="111">
        <f t="shared" si="3"/>
        <v>844</v>
      </c>
      <c r="J54" s="135">
        <v>45810</v>
      </c>
      <c r="K54" s="44">
        <v>2049</v>
      </c>
      <c r="L54" s="111"/>
      <c r="Q54"/>
      <c r="R54"/>
    </row>
    <row r="55" spans="1:18" ht="15.75" customHeight="1">
      <c r="A55" s="26">
        <v>45565</v>
      </c>
      <c r="B55" s="27" t="s">
        <v>28</v>
      </c>
      <c r="C55" s="28">
        <v>1421</v>
      </c>
      <c r="D55" s="28">
        <v>246</v>
      </c>
      <c r="E55" s="28">
        <v>358581</v>
      </c>
      <c r="F55" s="29">
        <v>8.8800000000000008</v>
      </c>
      <c r="G55" s="28">
        <v>24358</v>
      </c>
      <c r="H55" s="131">
        <f t="shared" si="2"/>
        <v>3.2768049617799048E-3</v>
      </c>
      <c r="I55" s="111">
        <f t="shared" si="3"/>
        <v>1175</v>
      </c>
      <c r="J55" s="135">
        <v>45817</v>
      </c>
      <c r="K55" s="44">
        <v>2243</v>
      </c>
      <c r="L55" s="111"/>
      <c r="Q55"/>
      <c r="R55"/>
    </row>
    <row r="56" spans="1:18" ht="15.75" customHeight="1">
      <c r="A56" s="26">
        <v>45572</v>
      </c>
      <c r="B56" s="27" t="s">
        <v>14</v>
      </c>
      <c r="C56" s="28">
        <v>764</v>
      </c>
      <c r="D56" s="28">
        <v>205</v>
      </c>
      <c r="E56" s="28">
        <v>319294</v>
      </c>
      <c r="F56" s="29">
        <v>6.23</v>
      </c>
      <c r="G56" s="28">
        <v>12181</v>
      </c>
      <c r="H56" s="131">
        <f t="shared" si="2"/>
        <v>1.7507375647522346E-3</v>
      </c>
      <c r="I56" s="111">
        <f t="shared" si="3"/>
        <v>559</v>
      </c>
      <c r="J56" s="135">
        <v>45824</v>
      </c>
      <c r="K56" s="44">
        <v>2017</v>
      </c>
      <c r="L56" s="111"/>
      <c r="Q56"/>
      <c r="R56"/>
    </row>
    <row r="57" spans="1:18" ht="15.75" customHeight="1">
      <c r="A57" s="26">
        <v>45572</v>
      </c>
      <c r="B57" s="27" t="s">
        <v>23</v>
      </c>
      <c r="C57" s="28">
        <v>678</v>
      </c>
      <c r="D57" s="28">
        <v>124</v>
      </c>
      <c r="E57" s="28">
        <v>192022</v>
      </c>
      <c r="F57" s="29">
        <v>8.4499999999999993</v>
      </c>
      <c r="G57" s="28">
        <v>17729</v>
      </c>
      <c r="H57" s="131">
        <f t="shared" si="2"/>
        <v>2.8850860838862216E-3</v>
      </c>
      <c r="I57" s="111">
        <f t="shared" si="3"/>
        <v>554</v>
      </c>
      <c r="J57" s="135">
        <v>45831</v>
      </c>
      <c r="K57" s="44">
        <v>1384</v>
      </c>
      <c r="L57" s="111"/>
      <c r="Q57"/>
      <c r="R57"/>
    </row>
    <row r="58" spans="1:18" ht="15.75" customHeight="1">
      <c r="A58" s="26">
        <v>45572</v>
      </c>
      <c r="B58" s="27" t="s">
        <v>28</v>
      </c>
      <c r="C58" s="28">
        <v>1328</v>
      </c>
      <c r="D58" s="28">
        <v>103</v>
      </c>
      <c r="E58" s="28">
        <v>151462</v>
      </c>
      <c r="F58" s="29">
        <v>8.4</v>
      </c>
      <c r="G58" s="28">
        <v>10881</v>
      </c>
      <c r="H58" s="131">
        <f t="shared" si="2"/>
        <v>8.0878372132944243E-3</v>
      </c>
      <c r="I58" s="111">
        <f t="shared" si="3"/>
        <v>1225</v>
      </c>
      <c r="J58" s="135">
        <v>45838</v>
      </c>
      <c r="K58" s="44">
        <v>2315</v>
      </c>
      <c r="L58" s="111"/>
      <c r="Q58"/>
      <c r="R58"/>
    </row>
    <row r="59" spans="1:18" ht="15.75" customHeight="1">
      <c r="A59" s="26">
        <v>45579</v>
      </c>
      <c r="B59" s="27" t="s">
        <v>14</v>
      </c>
      <c r="C59" s="28">
        <v>1161</v>
      </c>
      <c r="D59" s="28">
        <v>269</v>
      </c>
      <c r="E59" s="28">
        <v>188193</v>
      </c>
      <c r="F59" s="29">
        <v>7.34</v>
      </c>
      <c r="G59" s="28">
        <v>18576</v>
      </c>
      <c r="H59" s="131">
        <f t="shared" si="2"/>
        <v>4.7398149771776844E-3</v>
      </c>
      <c r="I59" s="111">
        <f t="shared" si="3"/>
        <v>892</v>
      </c>
      <c r="J59" s="135">
        <v>45845</v>
      </c>
      <c r="K59" s="44">
        <v>2669</v>
      </c>
      <c r="L59" s="111"/>
      <c r="Q59"/>
      <c r="R59"/>
    </row>
    <row r="60" spans="1:18" ht="15.75" customHeight="1">
      <c r="A60" s="26">
        <v>45579</v>
      </c>
      <c r="B60" s="27" t="s">
        <v>23</v>
      </c>
      <c r="C60" s="28">
        <v>588</v>
      </c>
      <c r="D60" s="28">
        <v>52</v>
      </c>
      <c r="E60" s="28">
        <v>292040</v>
      </c>
      <c r="F60" s="29">
        <v>8.14</v>
      </c>
      <c r="G60" s="28">
        <v>9383</v>
      </c>
      <c r="H60" s="131">
        <f t="shared" si="2"/>
        <v>1.8353650184906177E-3</v>
      </c>
      <c r="I60" s="111">
        <f t="shared" si="3"/>
        <v>536</v>
      </c>
      <c r="J60" s="135">
        <v>45852</v>
      </c>
      <c r="K60" s="44">
        <v>2654</v>
      </c>
      <c r="L60" s="111"/>
      <c r="Q60"/>
      <c r="R60"/>
    </row>
    <row r="61" spans="1:18" ht="15.75" customHeight="1">
      <c r="A61" s="26">
        <v>45579</v>
      </c>
      <c r="B61" s="27" t="s">
        <v>28</v>
      </c>
      <c r="C61" s="28">
        <v>1457</v>
      </c>
      <c r="D61" s="28">
        <v>215</v>
      </c>
      <c r="E61" s="28">
        <v>325325</v>
      </c>
      <c r="F61" s="29">
        <v>9.58</v>
      </c>
      <c r="G61" s="28">
        <v>14178</v>
      </c>
      <c r="H61" s="131">
        <f t="shared" si="2"/>
        <v>3.8177207407976638E-3</v>
      </c>
      <c r="I61" s="111">
        <f t="shared" si="3"/>
        <v>1242</v>
      </c>
      <c r="J61" s="135">
        <v>45859</v>
      </c>
      <c r="K61" s="44">
        <v>2694</v>
      </c>
      <c r="L61" s="111"/>
      <c r="Q61"/>
      <c r="R61"/>
    </row>
    <row r="62" spans="1:18" ht="15.75" customHeight="1">
      <c r="A62" s="26">
        <v>45586</v>
      </c>
      <c r="B62" s="27" t="s">
        <v>14</v>
      </c>
      <c r="C62" s="28">
        <v>1190</v>
      </c>
      <c r="D62" s="28">
        <v>242</v>
      </c>
      <c r="E62" s="28">
        <v>86849</v>
      </c>
      <c r="F62" s="29">
        <v>8.06</v>
      </c>
      <c r="G62" s="28">
        <v>21254</v>
      </c>
      <c r="H62" s="131">
        <f t="shared" si="2"/>
        <v>1.0915497012055407E-2</v>
      </c>
      <c r="I62" s="111">
        <f t="shared" si="3"/>
        <v>948</v>
      </c>
      <c r="J62" s="135">
        <v>45866</v>
      </c>
      <c r="K62" s="44">
        <v>3236</v>
      </c>
      <c r="L62" s="111"/>
      <c r="Q62"/>
      <c r="R62"/>
    </row>
    <row r="63" spans="1:18" ht="15.75" customHeight="1">
      <c r="A63" s="26">
        <v>45586</v>
      </c>
      <c r="B63" s="27" t="s">
        <v>23</v>
      </c>
      <c r="C63" s="28">
        <v>886</v>
      </c>
      <c r="D63" s="28">
        <v>124</v>
      </c>
      <c r="E63" s="28">
        <v>141161</v>
      </c>
      <c r="F63" s="29">
        <v>8.19</v>
      </c>
      <c r="G63" s="28">
        <v>14215</v>
      </c>
      <c r="H63" s="131">
        <f t="shared" si="2"/>
        <v>5.3980915408646862E-3</v>
      </c>
      <c r="I63" s="111">
        <f t="shared" si="3"/>
        <v>762</v>
      </c>
      <c r="J63" s="135">
        <v>45873</v>
      </c>
      <c r="K63" s="44">
        <v>1689</v>
      </c>
      <c r="L63" s="111"/>
      <c r="Q63"/>
      <c r="R63"/>
    </row>
    <row r="64" spans="1:18" ht="15.75" customHeight="1">
      <c r="A64" s="26">
        <v>45586</v>
      </c>
      <c r="B64" s="27" t="s">
        <v>28</v>
      </c>
      <c r="C64" s="28">
        <v>1237</v>
      </c>
      <c r="D64" s="28">
        <v>155</v>
      </c>
      <c r="E64" s="28">
        <v>149916</v>
      </c>
      <c r="F64" s="29">
        <v>4.4800000000000004</v>
      </c>
      <c r="G64" s="28">
        <v>16921</v>
      </c>
      <c r="H64" s="131">
        <f t="shared" si="2"/>
        <v>7.2173750633688196E-3</v>
      </c>
      <c r="I64" s="111">
        <f t="shared" si="3"/>
        <v>1082</v>
      </c>
      <c r="J64" s="135">
        <v>45880</v>
      </c>
      <c r="K64" s="44">
        <v>2347</v>
      </c>
      <c r="L64" s="111"/>
      <c r="Q64"/>
      <c r="R64"/>
    </row>
    <row r="65" spans="1:18" ht="15.75" customHeight="1">
      <c r="A65" s="26">
        <v>45593</v>
      </c>
      <c r="B65" s="27" t="s">
        <v>14</v>
      </c>
      <c r="C65" s="28">
        <v>1435</v>
      </c>
      <c r="D65" s="28">
        <v>261</v>
      </c>
      <c r="E65" s="28">
        <v>308533</v>
      </c>
      <c r="F65" s="29">
        <v>4.5199999999999996</v>
      </c>
      <c r="G65" s="28">
        <v>25130</v>
      </c>
      <c r="H65" s="131">
        <f t="shared" si="2"/>
        <v>3.8051035059458792E-3</v>
      </c>
      <c r="I65" s="111">
        <f t="shared" si="3"/>
        <v>1174</v>
      </c>
      <c r="J65" s="135">
        <v>45887</v>
      </c>
      <c r="K65" s="44">
        <v>1819</v>
      </c>
      <c r="L65" s="111"/>
      <c r="Q65"/>
      <c r="R65"/>
    </row>
    <row r="66" spans="1:18" ht="15.75" customHeight="1">
      <c r="A66" s="26">
        <v>45593</v>
      </c>
      <c r="B66" s="27" t="s">
        <v>23</v>
      </c>
      <c r="C66" s="28">
        <v>746</v>
      </c>
      <c r="D66" s="28">
        <v>282</v>
      </c>
      <c r="E66" s="28">
        <v>293894</v>
      </c>
      <c r="F66" s="29">
        <v>5.42</v>
      </c>
      <c r="G66" s="28">
        <v>25537</v>
      </c>
      <c r="H66" s="131">
        <f t="shared" ref="H66:H97" si="4">(C66-D66)/E66</f>
        <v>1.5788005199153436E-3</v>
      </c>
      <c r="I66" s="111">
        <f t="shared" ref="I66:I97" si="5">C66-D66</f>
        <v>464</v>
      </c>
      <c r="J66" s="135">
        <v>45894</v>
      </c>
      <c r="K66" s="44">
        <v>2646</v>
      </c>
      <c r="L66" s="111"/>
      <c r="Q66"/>
      <c r="R66"/>
    </row>
    <row r="67" spans="1:18" ht="15.75" customHeight="1">
      <c r="A67" s="26">
        <v>45593</v>
      </c>
      <c r="B67" s="27" t="s">
        <v>28</v>
      </c>
      <c r="C67" s="28">
        <v>759</v>
      </c>
      <c r="D67" s="28">
        <v>216</v>
      </c>
      <c r="E67" s="28">
        <v>147656</v>
      </c>
      <c r="F67" s="29">
        <v>4.08</v>
      </c>
      <c r="G67" s="28">
        <v>24943</v>
      </c>
      <c r="H67" s="131">
        <f t="shared" si="4"/>
        <v>3.6774665438586984E-3</v>
      </c>
      <c r="I67" s="111">
        <f t="shared" si="5"/>
        <v>543</v>
      </c>
      <c r="J67" s="135">
        <v>45901</v>
      </c>
      <c r="K67" s="44">
        <v>1424</v>
      </c>
      <c r="L67" s="111"/>
      <c r="Q67"/>
      <c r="R67"/>
    </row>
    <row r="68" spans="1:18" ht="15.75" customHeight="1">
      <c r="A68" s="26">
        <v>45600</v>
      </c>
      <c r="B68" s="27" t="s">
        <v>14</v>
      </c>
      <c r="C68" s="28">
        <v>1437</v>
      </c>
      <c r="D68" s="28">
        <v>235</v>
      </c>
      <c r="E68" s="28">
        <v>326791</v>
      </c>
      <c r="F68" s="29">
        <v>4.0599999999999996</v>
      </c>
      <c r="G68" s="28">
        <v>14563</v>
      </c>
      <c r="H68" s="131">
        <f t="shared" si="4"/>
        <v>3.6781918718691762E-3</v>
      </c>
      <c r="I68" s="111">
        <f t="shared" si="5"/>
        <v>1202</v>
      </c>
      <c r="J68" s="135">
        <v>45908</v>
      </c>
      <c r="K68" s="44">
        <v>1436</v>
      </c>
      <c r="L68" s="111"/>
      <c r="Q68"/>
      <c r="R68"/>
    </row>
    <row r="69" spans="1:18" ht="15.75" customHeight="1">
      <c r="A69" s="26">
        <v>45600</v>
      </c>
      <c r="B69" s="27" t="s">
        <v>23</v>
      </c>
      <c r="C69" s="28">
        <v>1463</v>
      </c>
      <c r="D69" s="28">
        <v>73</v>
      </c>
      <c r="E69" s="28">
        <v>348877</v>
      </c>
      <c r="F69" s="29">
        <v>9.91</v>
      </c>
      <c r="G69" s="28">
        <v>26273</v>
      </c>
      <c r="H69" s="131">
        <f t="shared" si="4"/>
        <v>3.9842122008616216E-3</v>
      </c>
      <c r="I69" s="111">
        <f t="shared" si="5"/>
        <v>1390</v>
      </c>
      <c r="J69" s="46" t="s">
        <v>360</v>
      </c>
      <c r="K69" s="44">
        <v>161588</v>
      </c>
      <c r="L69" s="111"/>
      <c r="Q69"/>
      <c r="R69"/>
    </row>
    <row r="70" spans="1:18" ht="15.75" customHeight="1">
      <c r="A70" s="26">
        <v>45600</v>
      </c>
      <c r="B70" s="27" t="s">
        <v>28</v>
      </c>
      <c r="C70" s="28">
        <v>1208</v>
      </c>
      <c r="D70" s="28">
        <v>224</v>
      </c>
      <c r="E70" s="28">
        <v>122730</v>
      </c>
      <c r="F70" s="29">
        <v>8.7200000000000006</v>
      </c>
      <c r="G70" s="28">
        <v>10858</v>
      </c>
      <c r="H70" s="131">
        <f t="shared" si="4"/>
        <v>8.0175996088975802E-3</v>
      </c>
      <c r="I70" s="111">
        <f t="shared" si="5"/>
        <v>984</v>
      </c>
      <c r="J70"/>
      <c r="K70"/>
      <c r="L70" s="111"/>
      <c r="Q70"/>
      <c r="R70"/>
    </row>
    <row r="71" spans="1:18" ht="15.75" customHeight="1">
      <c r="A71" s="26">
        <v>45607</v>
      </c>
      <c r="B71" s="27" t="s">
        <v>14</v>
      </c>
      <c r="C71" s="28">
        <v>1391</v>
      </c>
      <c r="D71" s="28">
        <v>187</v>
      </c>
      <c r="E71" s="28">
        <v>306508</v>
      </c>
      <c r="F71" s="29">
        <v>8.3800000000000008</v>
      </c>
      <c r="G71" s="28">
        <v>25038</v>
      </c>
      <c r="H71" s="131">
        <f t="shared" si="4"/>
        <v>3.9281193313061976E-3</v>
      </c>
      <c r="I71" s="111">
        <f t="shared" si="5"/>
        <v>1204</v>
      </c>
      <c r="J71"/>
      <c r="K71"/>
      <c r="L71" s="111"/>
      <c r="Q71"/>
      <c r="R71"/>
    </row>
    <row r="72" spans="1:18" ht="15.75" customHeight="1">
      <c r="A72" s="26">
        <v>45607</v>
      </c>
      <c r="B72" s="27" t="s">
        <v>23</v>
      </c>
      <c r="C72" s="28">
        <v>655</v>
      </c>
      <c r="D72" s="28">
        <v>123</v>
      </c>
      <c r="E72" s="28">
        <v>202472</v>
      </c>
      <c r="F72" s="29">
        <v>7.56</v>
      </c>
      <c r="G72" s="28">
        <v>9092</v>
      </c>
      <c r="H72" s="131">
        <f t="shared" si="4"/>
        <v>2.6275238057607967E-3</v>
      </c>
      <c r="I72" s="111">
        <f t="shared" si="5"/>
        <v>532</v>
      </c>
      <c r="J72"/>
      <c r="K72"/>
      <c r="L72" s="111"/>
      <c r="Q72"/>
      <c r="R72"/>
    </row>
    <row r="73" spans="1:18" ht="15.75" customHeight="1">
      <c r="A73" s="26">
        <v>45607</v>
      </c>
      <c r="B73" s="27" t="s">
        <v>28</v>
      </c>
      <c r="C73" s="28">
        <v>1148</v>
      </c>
      <c r="D73" s="28">
        <v>90</v>
      </c>
      <c r="E73" s="28">
        <v>227249</v>
      </c>
      <c r="F73" s="29">
        <v>7.24</v>
      </c>
      <c r="G73" s="28">
        <v>17662</v>
      </c>
      <c r="H73" s="131">
        <f t="shared" si="4"/>
        <v>4.6556860536239985E-3</v>
      </c>
      <c r="I73" s="111">
        <f t="shared" si="5"/>
        <v>1058</v>
      </c>
      <c r="J73"/>
      <c r="K73"/>
      <c r="L73" s="111"/>
      <c r="Q73"/>
      <c r="R73"/>
    </row>
    <row r="74" spans="1:18" ht="15.75" customHeight="1">
      <c r="A74" s="26">
        <v>45614</v>
      </c>
      <c r="B74" s="27" t="s">
        <v>14</v>
      </c>
      <c r="C74" s="28">
        <v>946</v>
      </c>
      <c r="D74" s="28">
        <v>270</v>
      </c>
      <c r="E74" s="28">
        <v>246567</v>
      </c>
      <c r="F74" s="29">
        <v>4.53</v>
      </c>
      <c r="G74" s="28">
        <v>5924</v>
      </c>
      <c r="H74" s="131">
        <f t="shared" si="4"/>
        <v>2.741648314656868E-3</v>
      </c>
      <c r="I74" s="111">
        <f t="shared" si="5"/>
        <v>676</v>
      </c>
      <c r="J74"/>
      <c r="K74"/>
      <c r="L74" s="111"/>
      <c r="Q74"/>
      <c r="R74"/>
    </row>
    <row r="75" spans="1:18" ht="15.75" customHeight="1">
      <c r="A75" s="26">
        <v>45614</v>
      </c>
      <c r="B75" s="27" t="s">
        <v>23</v>
      </c>
      <c r="C75" s="28">
        <v>791</v>
      </c>
      <c r="D75" s="28">
        <v>214</v>
      </c>
      <c r="E75" s="28">
        <v>114738</v>
      </c>
      <c r="F75" s="29">
        <v>6.62</v>
      </c>
      <c r="G75" s="28">
        <v>25347</v>
      </c>
      <c r="H75" s="131">
        <f t="shared" si="4"/>
        <v>5.0288483327232481E-3</v>
      </c>
      <c r="I75" s="111">
        <f t="shared" si="5"/>
        <v>577</v>
      </c>
      <c r="J75"/>
      <c r="K75"/>
      <c r="L75" s="111"/>
      <c r="Q75"/>
      <c r="R75"/>
    </row>
    <row r="76" spans="1:18" ht="15.75" customHeight="1">
      <c r="A76" s="26">
        <v>45614</v>
      </c>
      <c r="B76" s="27" t="s">
        <v>28</v>
      </c>
      <c r="C76" s="28">
        <v>793</v>
      </c>
      <c r="D76" s="28">
        <v>111</v>
      </c>
      <c r="E76" s="28">
        <v>333500</v>
      </c>
      <c r="F76" s="29">
        <v>6.36</v>
      </c>
      <c r="G76" s="28">
        <v>8910</v>
      </c>
      <c r="H76" s="131">
        <f t="shared" si="4"/>
        <v>2.0449775112443779E-3</v>
      </c>
      <c r="I76" s="111">
        <f t="shared" si="5"/>
        <v>682</v>
      </c>
      <c r="J76"/>
      <c r="K76"/>
      <c r="L76" s="111"/>
      <c r="Q76"/>
      <c r="R76"/>
    </row>
    <row r="77" spans="1:18" ht="15.75" customHeight="1">
      <c r="A77" s="26">
        <v>45621</v>
      </c>
      <c r="B77" s="27" t="s">
        <v>14</v>
      </c>
      <c r="C77" s="28">
        <v>663</v>
      </c>
      <c r="D77" s="28">
        <v>213</v>
      </c>
      <c r="E77" s="28">
        <v>352677</v>
      </c>
      <c r="F77" s="29">
        <v>9</v>
      </c>
      <c r="G77" s="28">
        <v>20438</v>
      </c>
      <c r="H77" s="131">
        <f t="shared" si="4"/>
        <v>1.2759550523566889E-3</v>
      </c>
      <c r="I77" s="111">
        <f t="shared" si="5"/>
        <v>450</v>
      </c>
      <c r="J77"/>
      <c r="K77"/>
      <c r="L77" s="111"/>
      <c r="Q77"/>
      <c r="R77"/>
    </row>
    <row r="78" spans="1:18" ht="15.75" customHeight="1">
      <c r="A78" s="26">
        <v>45621</v>
      </c>
      <c r="B78" s="27" t="s">
        <v>23</v>
      </c>
      <c r="C78" s="28">
        <v>954</v>
      </c>
      <c r="D78" s="28">
        <v>271</v>
      </c>
      <c r="E78" s="28">
        <v>160936</v>
      </c>
      <c r="F78" s="29">
        <v>8.83</v>
      </c>
      <c r="G78" s="28">
        <v>8760</v>
      </c>
      <c r="H78" s="131">
        <f t="shared" si="4"/>
        <v>4.2439230501565839E-3</v>
      </c>
      <c r="I78" s="111">
        <f t="shared" si="5"/>
        <v>683</v>
      </c>
      <c r="J78"/>
      <c r="K78"/>
      <c r="L78" s="111"/>
      <c r="Q78"/>
      <c r="R78"/>
    </row>
    <row r="79" spans="1:18" ht="15.75" customHeight="1">
      <c r="A79" s="26">
        <v>45621</v>
      </c>
      <c r="B79" s="27" t="s">
        <v>28</v>
      </c>
      <c r="C79" s="28">
        <v>1313</v>
      </c>
      <c r="D79" s="28">
        <v>159</v>
      </c>
      <c r="E79" s="28">
        <v>197183</v>
      </c>
      <c r="F79" s="29">
        <v>9.7100000000000009</v>
      </c>
      <c r="G79" s="28">
        <v>6625</v>
      </c>
      <c r="H79" s="131">
        <f t="shared" si="4"/>
        <v>5.8524314976443207E-3</v>
      </c>
      <c r="I79" s="111">
        <f t="shared" si="5"/>
        <v>1154</v>
      </c>
      <c r="J79"/>
      <c r="K79"/>
      <c r="L79" s="111"/>
      <c r="Q79"/>
      <c r="R79"/>
    </row>
    <row r="80" spans="1:18" ht="15.75" customHeight="1">
      <c r="A80" s="26">
        <v>45628</v>
      </c>
      <c r="B80" s="27" t="s">
        <v>14</v>
      </c>
      <c r="C80" s="28">
        <v>895</v>
      </c>
      <c r="D80" s="28">
        <v>87</v>
      </c>
      <c r="E80" s="28">
        <v>171271</v>
      </c>
      <c r="F80" s="29">
        <v>6.68</v>
      </c>
      <c r="G80" s="28">
        <v>23329</v>
      </c>
      <c r="H80" s="131">
        <f t="shared" si="4"/>
        <v>4.7176696580273365E-3</v>
      </c>
      <c r="I80" s="111">
        <f t="shared" si="5"/>
        <v>808</v>
      </c>
      <c r="J80"/>
      <c r="K80"/>
      <c r="L80" s="111"/>
      <c r="Q80"/>
      <c r="R80"/>
    </row>
    <row r="81" spans="1:18" ht="15.75" customHeight="1">
      <c r="A81" s="26">
        <v>45628</v>
      </c>
      <c r="B81" s="27" t="s">
        <v>23</v>
      </c>
      <c r="C81" s="28">
        <v>1027</v>
      </c>
      <c r="D81" s="28">
        <v>156</v>
      </c>
      <c r="E81" s="28">
        <v>111293</v>
      </c>
      <c r="F81" s="29">
        <v>5.51</v>
      </c>
      <c r="G81" s="28">
        <v>7299</v>
      </c>
      <c r="H81" s="131">
        <f t="shared" si="4"/>
        <v>7.8261885293774095E-3</v>
      </c>
      <c r="I81" s="111">
        <f t="shared" si="5"/>
        <v>871</v>
      </c>
      <c r="J81"/>
      <c r="K81"/>
      <c r="L81" s="111"/>
      <c r="Q81"/>
      <c r="R81"/>
    </row>
    <row r="82" spans="1:18" ht="15.75" customHeight="1">
      <c r="A82" s="26">
        <v>45628</v>
      </c>
      <c r="B82" s="27" t="s">
        <v>28</v>
      </c>
      <c r="C82" s="28">
        <v>990</v>
      </c>
      <c r="D82" s="28">
        <v>286</v>
      </c>
      <c r="E82" s="28">
        <v>351493</v>
      </c>
      <c r="F82" s="29">
        <v>7.97</v>
      </c>
      <c r="G82" s="28">
        <v>14496</v>
      </c>
      <c r="H82" s="131">
        <f t="shared" si="4"/>
        <v>2.0028848369668811E-3</v>
      </c>
      <c r="I82" s="111">
        <f t="shared" si="5"/>
        <v>704</v>
      </c>
      <c r="J82"/>
      <c r="K82"/>
      <c r="L82" s="111"/>
      <c r="Q82"/>
      <c r="R82"/>
    </row>
    <row r="83" spans="1:18" ht="15.75" customHeight="1">
      <c r="A83" s="26">
        <v>45635</v>
      </c>
      <c r="B83" s="27" t="s">
        <v>14</v>
      </c>
      <c r="C83" s="28">
        <v>875</v>
      </c>
      <c r="D83" s="28">
        <v>264</v>
      </c>
      <c r="E83" s="28">
        <v>345631</v>
      </c>
      <c r="F83" s="29">
        <v>9.18</v>
      </c>
      <c r="G83" s="28">
        <v>25703</v>
      </c>
      <c r="H83" s="131">
        <f t="shared" si="4"/>
        <v>1.7677812464738406E-3</v>
      </c>
      <c r="I83" s="111">
        <f t="shared" si="5"/>
        <v>611</v>
      </c>
      <c r="J83"/>
      <c r="K83"/>
      <c r="L83" s="111"/>
      <c r="Q83"/>
      <c r="R83"/>
    </row>
    <row r="84" spans="1:18" ht="15.75" customHeight="1">
      <c r="A84" s="26">
        <v>45635</v>
      </c>
      <c r="B84" s="27" t="s">
        <v>23</v>
      </c>
      <c r="C84" s="28">
        <v>599</v>
      </c>
      <c r="D84" s="28">
        <v>194</v>
      </c>
      <c r="E84" s="28">
        <v>105622</v>
      </c>
      <c r="F84" s="29">
        <v>6.44</v>
      </c>
      <c r="G84" s="28">
        <v>15108</v>
      </c>
      <c r="H84" s="131">
        <f t="shared" si="4"/>
        <v>3.8344284334702996E-3</v>
      </c>
      <c r="I84" s="111">
        <f t="shared" si="5"/>
        <v>405</v>
      </c>
      <c r="J84"/>
      <c r="K84"/>
      <c r="L84" s="111"/>
      <c r="Q84"/>
      <c r="R84"/>
    </row>
    <row r="85" spans="1:18" ht="15.75" customHeight="1">
      <c r="A85" s="26">
        <v>45635</v>
      </c>
      <c r="B85" s="27" t="s">
        <v>28</v>
      </c>
      <c r="C85" s="28">
        <v>630</v>
      </c>
      <c r="D85" s="28">
        <v>248</v>
      </c>
      <c r="E85" s="28">
        <v>119054</v>
      </c>
      <c r="F85" s="29">
        <v>5.0199999999999996</v>
      </c>
      <c r="G85" s="28">
        <v>18867</v>
      </c>
      <c r="H85" s="131">
        <f t="shared" si="4"/>
        <v>3.2086280175382597E-3</v>
      </c>
      <c r="I85" s="111">
        <f t="shared" si="5"/>
        <v>382</v>
      </c>
      <c r="J85"/>
      <c r="K85"/>
      <c r="L85" s="111"/>
      <c r="Q85"/>
      <c r="R85"/>
    </row>
    <row r="86" spans="1:18" ht="15.75" customHeight="1">
      <c r="A86" s="26">
        <v>45642</v>
      </c>
      <c r="B86" s="27" t="s">
        <v>14</v>
      </c>
      <c r="C86" s="28">
        <v>1350</v>
      </c>
      <c r="D86" s="28">
        <v>233</v>
      </c>
      <c r="E86" s="28">
        <v>171670</v>
      </c>
      <c r="F86" s="29">
        <v>4.53</v>
      </c>
      <c r="G86" s="28">
        <v>17574</v>
      </c>
      <c r="H86" s="131">
        <f t="shared" si="4"/>
        <v>6.506669773402458E-3</v>
      </c>
      <c r="I86" s="111">
        <f t="shared" si="5"/>
        <v>1117</v>
      </c>
      <c r="J86"/>
      <c r="K86"/>
      <c r="L86" s="111"/>
      <c r="Q86"/>
      <c r="R86"/>
    </row>
    <row r="87" spans="1:18" ht="15.75" customHeight="1">
      <c r="A87" s="26">
        <v>45642</v>
      </c>
      <c r="B87" s="27" t="s">
        <v>23</v>
      </c>
      <c r="C87" s="28">
        <v>632</v>
      </c>
      <c r="D87" s="28">
        <v>155</v>
      </c>
      <c r="E87" s="28">
        <v>170432</v>
      </c>
      <c r="F87" s="29">
        <v>9.17</v>
      </c>
      <c r="G87" s="28">
        <v>12840</v>
      </c>
      <c r="H87" s="131">
        <f t="shared" si="4"/>
        <v>2.7987701840030041E-3</v>
      </c>
      <c r="I87" s="111">
        <f t="shared" si="5"/>
        <v>477</v>
      </c>
      <c r="J87"/>
      <c r="K87"/>
      <c r="L87" s="111"/>
      <c r="Q87"/>
      <c r="R87"/>
    </row>
    <row r="88" spans="1:18" ht="15.75" customHeight="1">
      <c r="A88" s="26">
        <v>45642</v>
      </c>
      <c r="B88" s="27" t="s">
        <v>28</v>
      </c>
      <c r="C88" s="28">
        <v>1182</v>
      </c>
      <c r="D88" s="28">
        <v>83</v>
      </c>
      <c r="E88" s="28">
        <v>140300</v>
      </c>
      <c r="F88" s="29">
        <v>3.27</v>
      </c>
      <c r="G88" s="28">
        <v>21079</v>
      </c>
      <c r="H88" s="131">
        <f t="shared" si="4"/>
        <v>7.8332145402708487E-3</v>
      </c>
      <c r="I88" s="111">
        <f t="shared" si="5"/>
        <v>1099</v>
      </c>
      <c r="J88"/>
      <c r="K88"/>
      <c r="L88" s="111"/>
      <c r="Q88"/>
      <c r="R88"/>
    </row>
    <row r="89" spans="1:18" ht="15.75" customHeight="1">
      <c r="A89" s="26">
        <v>45649</v>
      </c>
      <c r="B89" s="27" t="s">
        <v>14</v>
      </c>
      <c r="C89" s="28">
        <v>661</v>
      </c>
      <c r="D89" s="28">
        <v>94</v>
      </c>
      <c r="E89" s="28">
        <v>116538</v>
      </c>
      <c r="F89" s="29">
        <v>5.31</v>
      </c>
      <c r="G89" s="28">
        <v>23486</v>
      </c>
      <c r="H89" s="131">
        <f t="shared" si="4"/>
        <v>4.8653658034289241E-3</v>
      </c>
      <c r="I89" s="111">
        <f t="shared" si="5"/>
        <v>567</v>
      </c>
      <c r="J89"/>
      <c r="K89"/>
      <c r="L89" s="111"/>
      <c r="Q89"/>
      <c r="R89"/>
    </row>
    <row r="90" spans="1:18" ht="15.75" customHeight="1">
      <c r="A90" s="26">
        <v>45649</v>
      </c>
      <c r="B90" s="27" t="s">
        <v>23</v>
      </c>
      <c r="C90" s="28">
        <v>1360</v>
      </c>
      <c r="D90" s="28">
        <v>227</v>
      </c>
      <c r="E90" s="28">
        <v>176902</v>
      </c>
      <c r="F90" s="29">
        <v>6.03</v>
      </c>
      <c r="G90" s="28">
        <v>5960</v>
      </c>
      <c r="H90" s="131">
        <f t="shared" si="4"/>
        <v>6.4046760353189906E-3</v>
      </c>
      <c r="I90" s="111">
        <f t="shared" si="5"/>
        <v>1133</v>
      </c>
      <c r="J90"/>
      <c r="K90"/>
      <c r="L90" s="111"/>
      <c r="Q90"/>
      <c r="R90"/>
    </row>
    <row r="91" spans="1:18" ht="15.75" customHeight="1">
      <c r="A91" s="26">
        <v>45649</v>
      </c>
      <c r="B91" s="27" t="s">
        <v>28</v>
      </c>
      <c r="C91" s="28">
        <v>935</v>
      </c>
      <c r="D91" s="28">
        <v>85</v>
      </c>
      <c r="E91" s="28">
        <v>326821</v>
      </c>
      <c r="F91" s="29">
        <v>8.89</v>
      </c>
      <c r="G91" s="28">
        <v>13301</v>
      </c>
      <c r="H91" s="131">
        <f t="shared" si="4"/>
        <v>2.60081206532016E-3</v>
      </c>
      <c r="I91" s="111">
        <f t="shared" si="5"/>
        <v>850</v>
      </c>
      <c r="J91"/>
      <c r="K91"/>
      <c r="L91" s="111"/>
      <c r="Q91"/>
      <c r="R91"/>
    </row>
    <row r="92" spans="1:18" ht="15.75" customHeight="1">
      <c r="A92" s="26">
        <v>45656</v>
      </c>
      <c r="B92" s="27" t="s">
        <v>14</v>
      </c>
      <c r="C92" s="28">
        <v>664</v>
      </c>
      <c r="D92" s="28">
        <v>251</v>
      </c>
      <c r="E92" s="28">
        <v>240598</v>
      </c>
      <c r="F92" s="29">
        <v>4.79</v>
      </c>
      <c r="G92" s="28">
        <v>10563</v>
      </c>
      <c r="H92" s="131">
        <f t="shared" si="4"/>
        <v>1.7165562473503519E-3</v>
      </c>
      <c r="I92" s="111">
        <f t="shared" si="5"/>
        <v>413</v>
      </c>
      <c r="J92"/>
      <c r="K92"/>
      <c r="L92" s="111"/>
      <c r="Q92"/>
      <c r="R92"/>
    </row>
    <row r="93" spans="1:18" ht="15.75" customHeight="1">
      <c r="A93" s="26">
        <v>45656</v>
      </c>
      <c r="B93" s="27" t="s">
        <v>23</v>
      </c>
      <c r="C93" s="28">
        <v>1490</v>
      </c>
      <c r="D93" s="28">
        <v>103</v>
      </c>
      <c r="E93" s="28">
        <v>373274</v>
      </c>
      <c r="F93" s="29">
        <v>4.8</v>
      </c>
      <c r="G93" s="28">
        <v>19949</v>
      </c>
      <c r="H93" s="131">
        <f t="shared" si="4"/>
        <v>3.7157691133055076E-3</v>
      </c>
      <c r="I93" s="111">
        <f t="shared" si="5"/>
        <v>1387</v>
      </c>
      <c r="J93"/>
      <c r="K93"/>
      <c r="L93" s="111"/>
      <c r="Q93"/>
      <c r="R93"/>
    </row>
    <row r="94" spans="1:18" ht="15.75" customHeight="1">
      <c r="A94" s="26">
        <v>45656</v>
      </c>
      <c r="B94" s="27" t="s">
        <v>28</v>
      </c>
      <c r="C94" s="28">
        <v>601</v>
      </c>
      <c r="D94" s="28">
        <v>64</v>
      </c>
      <c r="E94" s="28">
        <v>123272</v>
      </c>
      <c r="F94" s="29">
        <v>4.07</v>
      </c>
      <c r="G94" s="28">
        <v>14273</v>
      </c>
      <c r="H94" s="131">
        <f t="shared" si="4"/>
        <v>4.3562203906807708E-3</v>
      </c>
      <c r="I94" s="111">
        <f t="shared" si="5"/>
        <v>537</v>
      </c>
      <c r="J94"/>
      <c r="K94"/>
      <c r="L94" s="111"/>
      <c r="Q94"/>
      <c r="R94"/>
    </row>
    <row r="95" spans="1:18" ht="15.75" customHeight="1">
      <c r="A95" s="26">
        <v>45663</v>
      </c>
      <c r="B95" s="27" t="s">
        <v>14</v>
      </c>
      <c r="C95" s="28">
        <v>613</v>
      </c>
      <c r="D95" s="28">
        <v>170</v>
      </c>
      <c r="E95" s="28">
        <v>139266</v>
      </c>
      <c r="F95" s="29">
        <v>6.06</v>
      </c>
      <c r="G95" s="28">
        <v>9247</v>
      </c>
      <c r="H95" s="131">
        <f t="shared" si="4"/>
        <v>3.1809630491290049E-3</v>
      </c>
      <c r="I95" s="111">
        <f t="shared" si="5"/>
        <v>443</v>
      </c>
      <c r="J95"/>
      <c r="K95"/>
      <c r="L95" s="111"/>
      <c r="Q95"/>
      <c r="R95"/>
    </row>
    <row r="96" spans="1:18" ht="15.75" customHeight="1">
      <c r="A96" s="26">
        <v>45663</v>
      </c>
      <c r="B96" s="27" t="s">
        <v>23</v>
      </c>
      <c r="C96" s="28">
        <v>1340</v>
      </c>
      <c r="D96" s="28">
        <v>57</v>
      </c>
      <c r="E96" s="28">
        <v>155927</v>
      </c>
      <c r="F96" s="29">
        <v>7.79</v>
      </c>
      <c r="G96" s="28">
        <v>11972</v>
      </c>
      <c r="H96" s="131">
        <f t="shared" si="4"/>
        <v>8.2282093543773697E-3</v>
      </c>
      <c r="I96" s="111">
        <f t="shared" si="5"/>
        <v>1283</v>
      </c>
      <c r="J96"/>
      <c r="K96"/>
      <c r="L96" s="111"/>
      <c r="Q96"/>
      <c r="R96"/>
    </row>
    <row r="97" spans="1:18" ht="15.75" customHeight="1">
      <c r="A97" s="26">
        <v>45663</v>
      </c>
      <c r="B97" s="27" t="s">
        <v>28</v>
      </c>
      <c r="C97" s="28">
        <v>953</v>
      </c>
      <c r="D97" s="28">
        <v>228</v>
      </c>
      <c r="E97" s="28">
        <v>258398</v>
      </c>
      <c r="F97" s="29">
        <v>9.0500000000000007</v>
      </c>
      <c r="G97" s="28">
        <v>13314</v>
      </c>
      <c r="H97" s="131">
        <f t="shared" si="4"/>
        <v>2.8057492705051896E-3</v>
      </c>
      <c r="I97" s="111">
        <f t="shared" si="5"/>
        <v>725</v>
      </c>
      <c r="J97"/>
      <c r="K97"/>
      <c r="L97" s="111"/>
      <c r="Q97"/>
      <c r="R97"/>
    </row>
    <row r="98" spans="1:18" ht="15.75" customHeight="1">
      <c r="A98" s="26">
        <v>45670</v>
      </c>
      <c r="B98" s="27" t="s">
        <v>14</v>
      </c>
      <c r="C98" s="28">
        <v>532</v>
      </c>
      <c r="D98" s="28">
        <v>65</v>
      </c>
      <c r="E98" s="28">
        <v>338561</v>
      </c>
      <c r="F98" s="29">
        <v>3.5</v>
      </c>
      <c r="G98" s="28">
        <v>14749</v>
      </c>
      <c r="H98" s="131">
        <f t="shared" ref="H98:H129" si="6">(C98-D98)/E98</f>
        <v>1.3793673813581599E-3</v>
      </c>
      <c r="I98" s="111">
        <f t="shared" ref="I98:I129" si="7">C98-D98</f>
        <v>467</v>
      </c>
      <c r="J98"/>
      <c r="K98"/>
      <c r="L98" s="111"/>
      <c r="Q98"/>
      <c r="R98"/>
    </row>
    <row r="99" spans="1:18" ht="15.75" customHeight="1">
      <c r="A99" s="26">
        <v>45670</v>
      </c>
      <c r="B99" s="27" t="s">
        <v>23</v>
      </c>
      <c r="C99" s="28">
        <v>1414</v>
      </c>
      <c r="D99" s="28">
        <v>60</v>
      </c>
      <c r="E99" s="28">
        <v>341856</v>
      </c>
      <c r="F99" s="29">
        <v>8.76</v>
      </c>
      <c r="G99" s="28">
        <v>6868</v>
      </c>
      <c r="H99" s="131">
        <f t="shared" si="6"/>
        <v>3.960732004118693E-3</v>
      </c>
      <c r="I99" s="111">
        <f t="shared" si="7"/>
        <v>1354</v>
      </c>
      <c r="J99"/>
      <c r="K99"/>
      <c r="L99" s="111"/>
      <c r="Q99"/>
      <c r="R99"/>
    </row>
    <row r="100" spans="1:18" ht="15.75" customHeight="1">
      <c r="A100" s="26">
        <v>45670</v>
      </c>
      <c r="B100" s="27" t="s">
        <v>28</v>
      </c>
      <c r="C100" s="28">
        <v>685</v>
      </c>
      <c r="D100" s="28">
        <v>165</v>
      </c>
      <c r="E100" s="28">
        <v>175860</v>
      </c>
      <c r="F100" s="29">
        <v>6.26</v>
      </c>
      <c r="G100" s="28">
        <v>6027</v>
      </c>
      <c r="H100" s="131">
        <f t="shared" si="6"/>
        <v>2.9568975321278288E-3</v>
      </c>
      <c r="I100" s="111">
        <f t="shared" si="7"/>
        <v>520</v>
      </c>
      <c r="J100"/>
      <c r="K100"/>
      <c r="L100" s="111"/>
      <c r="Q100"/>
      <c r="R100"/>
    </row>
    <row r="101" spans="1:18" ht="15.75" customHeight="1">
      <c r="A101" s="26">
        <v>45677</v>
      </c>
      <c r="B101" s="27" t="s">
        <v>14</v>
      </c>
      <c r="C101" s="28">
        <v>601</v>
      </c>
      <c r="D101" s="28">
        <v>159</v>
      </c>
      <c r="E101" s="28">
        <v>327722</v>
      </c>
      <c r="F101" s="29">
        <v>3.33</v>
      </c>
      <c r="G101" s="28">
        <v>25267</v>
      </c>
      <c r="H101" s="131">
        <f t="shared" si="6"/>
        <v>1.3487040845594743E-3</v>
      </c>
      <c r="I101" s="111">
        <f t="shared" si="7"/>
        <v>442</v>
      </c>
      <c r="J101"/>
      <c r="K101"/>
      <c r="L101" s="111"/>
      <c r="Q101"/>
      <c r="R101"/>
    </row>
    <row r="102" spans="1:18" ht="15.75" customHeight="1">
      <c r="A102" s="26">
        <v>45677</v>
      </c>
      <c r="B102" s="27" t="s">
        <v>23</v>
      </c>
      <c r="C102" s="28">
        <v>841</v>
      </c>
      <c r="D102" s="28">
        <v>295</v>
      </c>
      <c r="E102" s="28">
        <v>271638</v>
      </c>
      <c r="F102" s="29">
        <v>9.15</v>
      </c>
      <c r="G102" s="28">
        <v>5900</v>
      </c>
      <c r="H102" s="131">
        <f t="shared" si="6"/>
        <v>2.0100280520398473E-3</v>
      </c>
      <c r="I102" s="111">
        <f t="shared" si="7"/>
        <v>546</v>
      </c>
      <c r="J102"/>
      <c r="K102"/>
      <c r="L102" s="111"/>
      <c r="Q102"/>
      <c r="R102"/>
    </row>
    <row r="103" spans="1:18" ht="15.75" customHeight="1">
      <c r="A103" s="26">
        <v>45677</v>
      </c>
      <c r="B103" s="27" t="s">
        <v>28</v>
      </c>
      <c r="C103" s="28">
        <v>1105</v>
      </c>
      <c r="D103" s="28">
        <v>261</v>
      </c>
      <c r="E103" s="28">
        <v>333851</v>
      </c>
      <c r="F103" s="29">
        <v>6.03</v>
      </c>
      <c r="G103" s="28">
        <v>11181</v>
      </c>
      <c r="H103" s="131">
        <f t="shared" si="6"/>
        <v>2.5280739012313877E-3</v>
      </c>
      <c r="I103" s="111">
        <f t="shared" si="7"/>
        <v>844</v>
      </c>
      <c r="J103"/>
      <c r="K103"/>
      <c r="L103" s="111"/>
      <c r="Q103"/>
      <c r="R103"/>
    </row>
    <row r="104" spans="1:18" ht="15.75" customHeight="1">
      <c r="A104" s="26">
        <v>45684</v>
      </c>
      <c r="B104" s="27" t="s">
        <v>14</v>
      </c>
      <c r="C104" s="28">
        <v>566</v>
      </c>
      <c r="D104" s="28">
        <v>225</v>
      </c>
      <c r="E104" s="28">
        <v>368984</v>
      </c>
      <c r="F104" s="29">
        <v>9.82</v>
      </c>
      <c r="G104" s="28">
        <v>9592</v>
      </c>
      <c r="H104" s="131">
        <f t="shared" si="6"/>
        <v>9.2415931314094918E-4</v>
      </c>
      <c r="I104" s="111">
        <f t="shared" si="7"/>
        <v>341</v>
      </c>
      <c r="J104"/>
      <c r="K104"/>
      <c r="L104" s="111"/>
      <c r="Q104"/>
      <c r="R104"/>
    </row>
    <row r="105" spans="1:18" ht="15.75" customHeight="1">
      <c r="A105" s="26">
        <v>45684</v>
      </c>
      <c r="B105" s="27" t="s">
        <v>23</v>
      </c>
      <c r="C105" s="28">
        <v>1149</v>
      </c>
      <c r="D105" s="28">
        <v>280</v>
      </c>
      <c r="E105" s="28">
        <v>167310</v>
      </c>
      <c r="F105" s="29">
        <v>3.7</v>
      </c>
      <c r="G105" s="28">
        <v>5291</v>
      </c>
      <c r="H105" s="131">
        <f t="shared" si="6"/>
        <v>5.1939513477975013E-3</v>
      </c>
      <c r="I105" s="111">
        <f t="shared" si="7"/>
        <v>869</v>
      </c>
      <c r="J105"/>
      <c r="K105"/>
      <c r="L105" s="111"/>
      <c r="Q105"/>
      <c r="R105"/>
    </row>
    <row r="106" spans="1:18" ht="15.75" customHeight="1">
      <c r="A106" s="26">
        <v>45684</v>
      </c>
      <c r="B106" s="27" t="s">
        <v>28</v>
      </c>
      <c r="C106" s="28">
        <v>819</v>
      </c>
      <c r="D106" s="28">
        <v>101</v>
      </c>
      <c r="E106" s="28">
        <v>194811</v>
      </c>
      <c r="F106" s="29">
        <v>3.35</v>
      </c>
      <c r="G106" s="28">
        <v>22244</v>
      </c>
      <c r="H106" s="131">
        <f t="shared" si="6"/>
        <v>3.685623501752981E-3</v>
      </c>
      <c r="I106" s="111">
        <f t="shared" si="7"/>
        <v>718</v>
      </c>
      <c r="J106"/>
      <c r="K106"/>
      <c r="L106" s="111"/>
      <c r="Q106"/>
      <c r="R106"/>
    </row>
    <row r="107" spans="1:18" ht="15.75" customHeight="1">
      <c r="A107" s="26">
        <v>45691</v>
      </c>
      <c r="B107" s="27" t="s">
        <v>14</v>
      </c>
      <c r="C107" s="28">
        <v>795</v>
      </c>
      <c r="D107" s="28">
        <v>60</v>
      </c>
      <c r="E107" s="28">
        <v>314982</v>
      </c>
      <c r="F107" s="29">
        <v>7.31</v>
      </c>
      <c r="G107" s="28">
        <v>6824</v>
      </c>
      <c r="H107" s="131">
        <f t="shared" si="6"/>
        <v>2.3334666742861497E-3</v>
      </c>
      <c r="I107" s="111">
        <f t="shared" si="7"/>
        <v>735</v>
      </c>
      <c r="J107"/>
      <c r="K107"/>
      <c r="L107" s="111"/>
      <c r="Q107"/>
      <c r="R107"/>
    </row>
    <row r="108" spans="1:18" ht="15.75" customHeight="1">
      <c r="A108" s="26">
        <v>45691</v>
      </c>
      <c r="B108" s="27" t="s">
        <v>23</v>
      </c>
      <c r="C108" s="28">
        <v>681</v>
      </c>
      <c r="D108" s="28">
        <v>158</v>
      </c>
      <c r="E108" s="28">
        <v>75960</v>
      </c>
      <c r="F108" s="29">
        <v>3.13</v>
      </c>
      <c r="G108" s="28">
        <v>24112</v>
      </c>
      <c r="H108" s="131">
        <f t="shared" si="6"/>
        <v>6.8852027382833069E-3</v>
      </c>
      <c r="I108" s="111">
        <f t="shared" si="7"/>
        <v>523</v>
      </c>
      <c r="J108"/>
      <c r="K108"/>
      <c r="L108" s="111"/>
      <c r="Q108"/>
      <c r="R108"/>
    </row>
    <row r="109" spans="1:18" ht="15.75" customHeight="1">
      <c r="A109" s="26">
        <v>45691</v>
      </c>
      <c r="B109" s="27" t="s">
        <v>28</v>
      </c>
      <c r="C109" s="28">
        <v>534</v>
      </c>
      <c r="D109" s="28">
        <v>112</v>
      </c>
      <c r="E109" s="28">
        <v>360759</v>
      </c>
      <c r="F109" s="29">
        <v>4.8899999999999997</v>
      </c>
      <c r="G109" s="28">
        <v>25478</v>
      </c>
      <c r="H109" s="131">
        <f t="shared" si="6"/>
        <v>1.1697559866836308E-3</v>
      </c>
      <c r="I109" s="111">
        <f t="shared" si="7"/>
        <v>422</v>
      </c>
      <c r="J109"/>
      <c r="K109"/>
      <c r="L109" s="111"/>
      <c r="Q109"/>
      <c r="R109"/>
    </row>
    <row r="110" spans="1:18" ht="15.75" customHeight="1">
      <c r="A110" s="26">
        <v>45698</v>
      </c>
      <c r="B110" s="27" t="s">
        <v>14</v>
      </c>
      <c r="C110" s="28">
        <v>1066</v>
      </c>
      <c r="D110" s="28">
        <v>151</v>
      </c>
      <c r="E110" s="28">
        <v>297090</v>
      </c>
      <c r="F110" s="29">
        <v>8.6300000000000008</v>
      </c>
      <c r="G110" s="28">
        <v>11235</v>
      </c>
      <c r="H110" s="131">
        <f t="shared" si="6"/>
        <v>3.0798747854185599E-3</v>
      </c>
      <c r="I110" s="111">
        <f t="shared" si="7"/>
        <v>915</v>
      </c>
      <c r="J110"/>
      <c r="K110"/>
      <c r="L110" s="111"/>
      <c r="Q110"/>
      <c r="R110"/>
    </row>
    <row r="111" spans="1:18" ht="15.75" customHeight="1">
      <c r="A111" s="26">
        <v>45698</v>
      </c>
      <c r="B111" s="27" t="s">
        <v>23</v>
      </c>
      <c r="C111" s="28">
        <v>1270</v>
      </c>
      <c r="D111" s="28">
        <v>162</v>
      </c>
      <c r="E111" s="28">
        <v>92040</v>
      </c>
      <c r="F111" s="29">
        <v>8.0299999999999994</v>
      </c>
      <c r="G111" s="28">
        <v>6120</v>
      </c>
      <c r="H111" s="131">
        <f t="shared" si="6"/>
        <v>1.2038244241634072E-2</v>
      </c>
      <c r="I111" s="111">
        <f t="shared" si="7"/>
        <v>1108</v>
      </c>
      <c r="J111"/>
      <c r="K111"/>
      <c r="L111" s="111"/>
      <c r="Q111"/>
      <c r="R111"/>
    </row>
    <row r="112" spans="1:18" ht="15.75" customHeight="1">
      <c r="A112" s="26">
        <v>45698</v>
      </c>
      <c r="B112" s="27" t="s">
        <v>28</v>
      </c>
      <c r="C112" s="28">
        <v>536</v>
      </c>
      <c r="D112" s="28">
        <v>198</v>
      </c>
      <c r="E112" s="28">
        <v>174610</v>
      </c>
      <c r="F112" s="29">
        <v>7.85</v>
      </c>
      <c r="G112" s="28">
        <v>20572</v>
      </c>
      <c r="H112" s="131">
        <f t="shared" si="6"/>
        <v>1.9357425118836263E-3</v>
      </c>
      <c r="I112" s="111">
        <f t="shared" si="7"/>
        <v>338</v>
      </c>
      <c r="J112"/>
      <c r="K112"/>
      <c r="L112" s="111"/>
      <c r="Q112"/>
      <c r="R112"/>
    </row>
    <row r="113" spans="1:18" ht="15.75" customHeight="1">
      <c r="A113" s="26">
        <v>45705</v>
      </c>
      <c r="B113" s="27" t="s">
        <v>14</v>
      </c>
      <c r="C113" s="28">
        <v>819</v>
      </c>
      <c r="D113" s="28">
        <v>95</v>
      </c>
      <c r="E113" s="28">
        <v>177376</v>
      </c>
      <c r="F113" s="29">
        <v>6.12</v>
      </c>
      <c r="G113" s="28">
        <v>14975</v>
      </c>
      <c r="H113" s="131">
        <f t="shared" si="6"/>
        <v>4.0817246978170664E-3</v>
      </c>
      <c r="I113" s="111">
        <f t="shared" si="7"/>
        <v>724</v>
      </c>
      <c r="J113"/>
      <c r="K113"/>
      <c r="L113" s="111"/>
      <c r="Q113"/>
      <c r="R113"/>
    </row>
    <row r="114" spans="1:18" ht="15.75" customHeight="1">
      <c r="A114" s="26">
        <v>45705</v>
      </c>
      <c r="B114" s="27" t="s">
        <v>23</v>
      </c>
      <c r="C114" s="28">
        <v>681</v>
      </c>
      <c r="D114" s="28">
        <v>218</v>
      </c>
      <c r="E114" s="28">
        <v>198882</v>
      </c>
      <c r="F114" s="29">
        <v>7.16</v>
      </c>
      <c r="G114" s="28">
        <v>22234</v>
      </c>
      <c r="H114" s="131">
        <f t="shared" si="6"/>
        <v>2.3280135960016494E-3</v>
      </c>
      <c r="I114" s="111">
        <f t="shared" si="7"/>
        <v>463</v>
      </c>
      <c r="J114"/>
      <c r="K114"/>
      <c r="L114" s="111"/>
      <c r="Q114"/>
      <c r="R114"/>
    </row>
    <row r="115" spans="1:18" ht="15.75" customHeight="1">
      <c r="A115" s="26">
        <v>45705</v>
      </c>
      <c r="B115" s="27" t="s">
        <v>28</v>
      </c>
      <c r="C115" s="28">
        <v>646</v>
      </c>
      <c r="D115" s="28">
        <v>290</v>
      </c>
      <c r="E115" s="28">
        <v>336383</v>
      </c>
      <c r="F115" s="29">
        <v>7.04</v>
      </c>
      <c r="G115" s="28">
        <v>6532</v>
      </c>
      <c r="H115" s="131">
        <f t="shared" si="6"/>
        <v>1.0583174536168594E-3</v>
      </c>
      <c r="I115" s="111">
        <f t="shared" si="7"/>
        <v>356</v>
      </c>
      <c r="J115"/>
      <c r="K115"/>
      <c r="L115" s="111"/>
      <c r="Q115"/>
      <c r="R115"/>
    </row>
    <row r="116" spans="1:18" ht="15.75" customHeight="1">
      <c r="A116" s="26">
        <v>45712</v>
      </c>
      <c r="B116" s="27" t="s">
        <v>14</v>
      </c>
      <c r="C116" s="28">
        <v>645</v>
      </c>
      <c r="D116" s="28">
        <v>267</v>
      </c>
      <c r="E116" s="28">
        <v>346890</v>
      </c>
      <c r="F116" s="29">
        <v>3.71</v>
      </c>
      <c r="G116" s="28">
        <v>24858</v>
      </c>
      <c r="H116" s="131">
        <f t="shared" si="6"/>
        <v>1.0896826083196401E-3</v>
      </c>
      <c r="I116" s="111">
        <f t="shared" si="7"/>
        <v>378</v>
      </c>
      <c r="J116"/>
      <c r="K116"/>
      <c r="L116" s="111"/>
      <c r="Q116"/>
      <c r="R116"/>
    </row>
    <row r="117" spans="1:18" ht="15.75" customHeight="1">
      <c r="A117" s="26">
        <v>45712</v>
      </c>
      <c r="B117" s="27" t="s">
        <v>23</v>
      </c>
      <c r="C117" s="28">
        <v>886</v>
      </c>
      <c r="D117" s="28">
        <v>250</v>
      </c>
      <c r="E117" s="28">
        <v>168170</v>
      </c>
      <c r="F117" s="29">
        <v>4.12</v>
      </c>
      <c r="G117" s="28">
        <v>13883</v>
      </c>
      <c r="H117" s="131">
        <f t="shared" si="6"/>
        <v>3.7818873758696555E-3</v>
      </c>
      <c r="I117" s="111">
        <f t="shared" si="7"/>
        <v>636</v>
      </c>
      <c r="J117"/>
      <c r="K117"/>
      <c r="L117" s="111"/>
      <c r="Q117"/>
      <c r="R117"/>
    </row>
    <row r="118" spans="1:18" ht="15.75" customHeight="1">
      <c r="A118" s="26">
        <v>45712</v>
      </c>
      <c r="B118" s="27" t="s">
        <v>28</v>
      </c>
      <c r="C118" s="28">
        <v>978</v>
      </c>
      <c r="D118" s="28">
        <v>279</v>
      </c>
      <c r="E118" s="28">
        <v>368872</v>
      </c>
      <c r="F118" s="29">
        <v>6.82</v>
      </c>
      <c r="G118" s="28">
        <v>18654</v>
      </c>
      <c r="H118" s="131">
        <f t="shared" si="6"/>
        <v>1.8949662755644234E-3</v>
      </c>
      <c r="I118" s="111">
        <f t="shared" si="7"/>
        <v>699</v>
      </c>
      <c r="J118"/>
      <c r="K118"/>
      <c r="L118" s="111"/>
      <c r="Q118"/>
      <c r="R118"/>
    </row>
    <row r="119" spans="1:18" ht="15.75" customHeight="1">
      <c r="A119" s="26">
        <v>45719</v>
      </c>
      <c r="B119" s="27" t="s">
        <v>14</v>
      </c>
      <c r="C119" s="28">
        <v>1444</v>
      </c>
      <c r="D119" s="28">
        <v>165</v>
      </c>
      <c r="E119" s="28">
        <v>116436</v>
      </c>
      <c r="F119" s="29">
        <v>8.2200000000000006</v>
      </c>
      <c r="G119" s="28">
        <v>25234</v>
      </c>
      <c r="H119" s="131">
        <f t="shared" si="6"/>
        <v>1.0984575217286749E-2</v>
      </c>
      <c r="I119" s="111">
        <f t="shared" si="7"/>
        <v>1279</v>
      </c>
      <c r="J119"/>
      <c r="K119"/>
      <c r="L119" s="111"/>
      <c r="Q119"/>
      <c r="R119"/>
    </row>
    <row r="120" spans="1:18" ht="15.75" customHeight="1">
      <c r="A120" s="26">
        <v>45719</v>
      </c>
      <c r="B120" s="27" t="s">
        <v>23</v>
      </c>
      <c r="C120" s="28">
        <v>1234</v>
      </c>
      <c r="D120" s="28">
        <v>228</v>
      </c>
      <c r="E120" s="28">
        <v>127502</v>
      </c>
      <c r="F120" s="29">
        <v>7.71</v>
      </c>
      <c r="G120" s="28">
        <v>6772</v>
      </c>
      <c r="H120" s="131">
        <f t="shared" si="6"/>
        <v>7.8900723125911749E-3</v>
      </c>
      <c r="I120" s="111">
        <f t="shared" si="7"/>
        <v>1006</v>
      </c>
      <c r="J120"/>
      <c r="K120"/>
      <c r="L120" s="111"/>
      <c r="Q120"/>
      <c r="R120"/>
    </row>
    <row r="121" spans="1:18" ht="15.75" customHeight="1">
      <c r="A121" s="26">
        <v>45719</v>
      </c>
      <c r="B121" s="27" t="s">
        <v>28</v>
      </c>
      <c r="C121" s="28">
        <v>665</v>
      </c>
      <c r="D121" s="28">
        <v>187</v>
      </c>
      <c r="E121" s="28">
        <v>274567</v>
      </c>
      <c r="F121" s="29">
        <v>7.39</v>
      </c>
      <c r="G121" s="28">
        <v>22428</v>
      </c>
      <c r="H121" s="131">
        <f t="shared" si="6"/>
        <v>1.7409229805475531E-3</v>
      </c>
      <c r="I121" s="111">
        <f t="shared" si="7"/>
        <v>478</v>
      </c>
      <c r="J121"/>
      <c r="K121"/>
      <c r="L121" s="111"/>
      <c r="Q121"/>
      <c r="R121"/>
    </row>
    <row r="122" spans="1:18" ht="15.75" customHeight="1">
      <c r="A122" s="26">
        <v>45726</v>
      </c>
      <c r="B122" s="27" t="s">
        <v>14</v>
      </c>
      <c r="C122" s="28">
        <v>631</v>
      </c>
      <c r="D122" s="28">
        <v>86</v>
      </c>
      <c r="E122" s="28">
        <v>295090</v>
      </c>
      <c r="F122" s="29">
        <v>7.89</v>
      </c>
      <c r="G122" s="28">
        <v>11911</v>
      </c>
      <c r="H122" s="131">
        <f t="shared" si="6"/>
        <v>1.8468941678809856E-3</v>
      </c>
      <c r="I122" s="111">
        <f t="shared" si="7"/>
        <v>545</v>
      </c>
      <c r="J122"/>
      <c r="K122"/>
      <c r="L122" s="111"/>
      <c r="Q122"/>
      <c r="R122"/>
    </row>
    <row r="123" spans="1:18" ht="15.75" customHeight="1">
      <c r="A123" s="26">
        <v>45726</v>
      </c>
      <c r="B123" s="27" t="s">
        <v>23</v>
      </c>
      <c r="C123" s="28">
        <v>1159</v>
      </c>
      <c r="D123" s="28">
        <v>154</v>
      </c>
      <c r="E123" s="28">
        <v>194994</v>
      </c>
      <c r="F123" s="29">
        <v>6.39</v>
      </c>
      <c r="G123" s="28">
        <v>21900</v>
      </c>
      <c r="H123" s="131">
        <f t="shared" si="6"/>
        <v>5.1540047386073422E-3</v>
      </c>
      <c r="I123" s="111">
        <f t="shared" si="7"/>
        <v>1005</v>
      </c>
      <c r="J123"/>
      <c r="K123"/>
      <c r="L123" s="111"/>
      <c r="Q123"/>
      <c r="R123"/>
    </row>
    <row r="124" spans="1:18" ht="15.75" customHeight="1">
      <c r="A124" s="26">
        <v>45726</v>
      </c>
      <c r="B124" s="27" t="s">
        <v>28</v>
      </c>
      <c r="C124" s="28">
        <v>950</v>
      </c>
      <c r="D124" s="28">
        <v>185</v>
      </c>
      <c r="E124" s="28">
        <v>340750</v>
      </c>
      <c r="F124" s="29">
        <v>6.77</v>
      </c>
      <c r="G124" s="28">
        <v>25542</v>
      </c>
      <c r="H124" s="131">
        <f t="shared" si="6"/>
        <v>2.2450476889214967E-3</v>
      </c>
      <c r="I124" s="111">
        <f t="shared" si="7"/>
        <v>765</v>
      </c>
      <c r="J124"/>
      <c r="K124"/>
      <c r="L124" s="111"/>
      <c r="Q124"/>
      <c r="R124"/>
    </row>
    <row r="125" spans="1:18" ht="15.75" customHeight="1">
      <c r="A125" s="26">
        <v>45733</v>
      </c>
      <c r="B125" s="27" t="s">
        <v>14</v>
      </c>
      <c r="C125" s="28">
        <v>693</v>
      </c>
      <c r="D125" s="28">
        <v>129</v>
      </c>
      <c r="E125" s="28">
        <v>296031</v>
      </c>
      <c r="F125" s="29">
        <v>3.41</v>
      </c>
      <c r="G125" s="28">
        <v>7140</v>
      </c>
      <c r="H125" s="131">
        <f t="shared" si="6"/>
        <v>1.9052058737091724E-3</v>
      </c>
      <c r="I125" s="111">
        <f t="shared" si="7"/>
        <v>564</v>
      </c>
      <c r="J125"/>
      <c r="K125"/>
      <c r="L125" s="111"/>
      <c r="Q125"/>
      <c r="R125"/>
    </row>
    <row r="126" spans="1:18" ht="15.75" customHeight="1">
      <c r="A126" s="26">
        <v>45733</v>
      </c>
      <c r="B126" s="27" t="s">
        <v>23</v>
      </c>
      <c r="C126" s="28">
        <v>576</v>
      </c>
      <c r="D126" s="28">
        <v>80</v>
      </c>
      <c r="E126" s="28">
        <v>345688</v>
      </c>
      <c r="F126" s="29">
        <v>4.1100000000000003</v>
      </c>
      <c r="G126" s="28">
        <v>20474</v>
      </c>
      <c r="H126" s="131">
        <f t="shared" si="6"/>
        <v>1.4348198375413667E-3</v>
      </c>
      <c r="I126" s="111">
        <f t="shared" si="7"/>
        <v>496</v>
      </c>
      <c r="J126"/>
      <c r="K126"/>
      <c r="L126" s="111"/>
      <c r="Q126"/>
      <c r="R126"/>
    </row>
    <row r="127" spans="1:18" ht="15.75" customHeight="1">
      <c r="A127" s="26">
        <v>45733</v>
      </c>
      <c r="B127" s="27" t="s">
        <v>28</v>
      </c>
      <c r="C127" s="28">
        <v>1274</v>
      </c>
      <c r="D127" s="28">
        <v>146</v>
      </c>
      <c r="E127" s="28">
        <v>263488</v>
      </c>
      <c r="F127" s="29">
        <v>9.58</v>
      </c>
      <c r="G127" s="28">
        <v>8698</v>
      </c>
      <c r="H127" s="131">
        <f t="shared" si="6"/>
        <v>4.2810298761233904E-3</v>
      </c>
      <c r="I127" s="111">
        <f t="shared" si="7"/>
        <v>1128</v>
      </c>
      <c r="J127"/>
      <c r="K127"/>
      <c r="L127" s="111"/>
      <c r="Q127"/>
      <c r="R127"/>
    </row>
    <row r="128" spans="1:18" ht="15.75" customHeight="1">
      <c r="A128" s="26">
        <v>45740</v>
      </c>
      <c r="B128" s="27" t="s">
        <v>14</v>
      </c>
      <c r="C128" s="28">
        <v>818</v>
      </c>
      <c r="D128" s="28">
        <v>253</v>
      </c>
      <c r="E128" s="28">
        <v>184911</v>
      </c>
      <c r="F128" s="29">
        <v>3.39</v>
      </c>
      <c r="G128" s="28">
        <v>10402</v>
      </c>
      <c r="H128" s="131">
        <f t="shared" si="6"/>
        <v>3.0555240088474996E-3</v>
      </c>
      <c r="I128" s="111">
        <f t="shared" si="7"/>
        <v>565</v>
      </c>
      <c r="J128"/>
      <c r="K128"/>
      <c r="L128" s="111"/>
      <c r="Q128"/>
      <c r="R128"/>
    </row>
    <row r="129" spans="1:18" ht="15.75" customHeight="1">
      <c r="A129" s="26">
        <v>45740</v>
      </c>
      <c r="B129" s="27" t="s">
        <v>23</v>
      </c>
      <c r="C129" s="28">
        <v>975</v>
      </c>
      <c r="D129" s="28">
        <v>162</v>
      </c>
      <c r="E129" s="28">
        <v>124497</v>
      </c>
      <c r="F129" s="29">
        <v>9.58</v>
      </c>
      <c r="G129" s="28">
        <v>26618</v>
      </c>
      <c r="H129" s="131">
        <f t="shared" si="6"/>
        <v>6.5302778380201933E-3</v>
      </c>
      <c r="I129" s="111">
        <f t="shared" si="7"/>
        <v>813</v>
      </c>
      <c r="J129"/>
      <c r="K129"/>
      <c r="L129" s="111"/>
      <c r="Q129"/>
      <c r="R129"/>
    </row>
    <row r="130" spans="1:18" ht="15.75" customHeight="1">
      <c r="A130" s="127">
        <v>45740</v>
      </c>
      <c r="B130" s="128" t="s">
        <v>28</v>
      </c>
      <c r="C130" s="129">
        <v>1398</v>
      </c>
      <c r="D130" s="129">
        <v>97</v>
      </c>
      <c r="E130" s="129">
        <v>397607</v>
      </c>
      <c r="F130" s="130">
        <v>5.09</v>
      </c>
      <c r="G130" s="129">
        <v>7975</v>
      </c>
      <c r="H130" s="134">
        <f t="shared" ref="H130:H161" si="8">(C130-D130)/E130</f>
        <v>3.2720751898231166E-3</v>
      </c>
      <c r="I130" s="111">
        <f t="shared" ref="I130:I161" si="9">C130-D130</f>
        <v>1301</v>
      </c>
      <c r="J130"/>
      <c r="K130"/>
      <c r="L130" s="111"/>
      <c r="Q130"/>
      <c r="R130"/>
    </row>
    <row r="131" spans="1:18" ht="15.75" customHeight="1">
      <c r="A131" s="26">
        <v>45747</v>
      </c>
      <c r="B131" s="27" t="s">
        <v>14</v>
      </c>
      <c r="C131" s="28">
        <v>591</v>
      </c>
      <c r="D131" s="28">
        <v>155</v>
      </c>
      <c r="E131" s="28">
        <v>138521</v>
      </c>
      <c r="F131" s="29">
        <v>7.85</v>
      </c>
      <c r="G131" s="28">
        <v>19054</v>
      </c>
      <c r="H131" s="131">
        <f t="shared" si="8"/>
        <v>3.1475371965261584E-3</v>
      </c>
      <c r="I131" s="111">
        <f t="shared" si="9"/>
        <v>436</v>
      </c>
      <c r="J131"/>
      <c r="K131"/>
      <c r="L131" s="111"/>
      <c r="Q131"/>
      <c r="R131"/>
    </row>
    <row r="132" spans="1:18" ht="15.75" customHeight="1">
      <c r="A132" s="26">
        <v>45747</v>
      </c>
      <c r="B132" s="27" t="s">
        <v>23</v>
      </c>
      <c r="C132" s="28">
        <v>1232</v>
      </c>
      <c r="D132" s="28">
        <v>254</v>
      </c>
      <c r="E132" s="28">
        <v>107718</v>
      </c>
      <c r="F132" s="29">
        <v>9.7100000000000009</v>
      </c>
      <c r="G132" s="28">
        <v>13740</v>
      </c>
      <c r="H132" s="131">
        <f t="shared" si="8"/>
        <v>9.0792625187990864E-3</v>
      </c>
      <c r="I132" s="111">
        <f t="shared" si="9"/>
        <v>978</v>
      </c>
      <c r="J132"/>
      <c r="K132"/>
      <c r="L132" s="111"/>
      <c r="Q132"/>
      <c r="R132"/>
    </row>
    <row r="133" spans="1:18" ht="15.75" customHeight="1">
      <c r="A133" s="26">
        <v>45747</v>
      </c>
      <c r="B133" s="27" t="s">
        <v>28</v>
      </c>
      <c r="C133" s="28">
        <v>1425</v>
      </c>
      <c r="D133" s="28">
        <v>58</v>
      </c>
      <c r="E133" s="28">
        <v>202234</v>
      </c>
      <c r="F133" s="29">
        <v>6.67</v>
      </c>
      <c r="G133" s="28">
        <v>18442</v>
      </c>
      <c r="H133" s="131">
        <f t="shared" si="8"/>
        <v>6.7594964249334932E-3</v>
      </c>
      <c r="I133" s="111">
        <f t="shared" si="9"/>
        <v>1367</v>
      </c>
      <c r="J133"/>
      <c r="K133"/>
      <c r="L133" s="111"/>
      <c r="Q133"/>
      <c r="R133"/>
    </row>
    <row r="134" spans="1:18" ht="15.75" customHeight="1">
      <c r="A134" s="26">
        <v>45754</v>
      </c>
      <c r="B134" s="27" t="s">
        <v>14</v>
      </c>
      <c r="C134" s="28">
        <v>1417</v>
      </c>
      <c r="D134" s="28">
        <v>80</v>
      </c>
      <c r="E134" s="28">
        <v>340987</v>
      </c>
      <c r="F134" s="29">
        <v>6.13</v>
      </c>
      <c r="G134" s="28">
        <v>10104</v>
      </c>
      <c r="H134" s="131">
        <f t="shared" si="8"/>
        <v>3.9209705941868752E-3</v>
      </c>
      <c r="I134" s="111">
        <f t="shared" si="9"/>
        <v>1337</v>
      </c>
      <c r="J134"/>
      <c r="K134"/>
      <c r="L134" s="111"/>
      <c r="Q134"/>
      <c r="R134"/>
    </row>
    <row r="135" spans="1:18" ht="15.75" customHeight="1">
      <c r="A135" s="26">
        <v>45754</v>
      </c>
      <c r="B135" s="27" t="s">
        <v>23</v>
      </c>
      <c r="C135" s="28">
        <v>1222</v>
      </c>
      <c r="D135" s="28">
        <v>208</v>
      </c>
      <c r="E135" s="28">
        <v>340098</v>
      </c>
      <c r="F135" s="29">
        <v>7.34</v>
      </c>
      <c r="G135" s="28">
        <v>21771</v>
      </c>
      <c r="H135" s="131">
        <f t="shared" si="8"/>
        <v>2.9814935695005556E-3</v>
      </c>
      <c r="I135" s="111">
        <f t="shared" si="9"/>
        <v>1014</v>
      </c>
      <c r="J135"/>
      <c r="K135"/>
      <c r="L135" s="111"/>
      <c r="Q135"/>
      <c r="R135"/>
    </row>
    <row r="136" spans="1:18" ht="15.75" customHeight="1">
      <c r="A136" s="26">
        <v>45754</v>
      </c>
      <c r="B136" s="27" t="s">
        <v>28</v>
      </c>
      <c r="C136" s="28">
        <v>1071</v>
      </c>
      <c r="D136" s="28">
        <v>131</v>
      </c>
      <c r="E136" s="28">
        <v>254727</v>
      </c>
      <c r="F136" s="29">
        <v>6.87</v>
      </c>
      <c r="G136" s="28">
        <v>22191</v>
      </c>
      <c r="H136" s="131">
        <f t="shared" si="8"/>
        <v>3.6902252215116576E-3</v>
      </c>
      <c r="I136" s="111">
        <f t="shared" si="9"/>
        <v>940</v>
      </c>
      <c r="J136"/>
      <c r="K136"/>
      <c r="L136" s="111"/>
      <c r="Q136"/>
      <c r="R136"/>
    </row>
    <row r="137" spans="1:18" ht="15.75" customHeight="1">
      <c r="A137" s="26">
        <v>45761</v>
      </c>
      <c r="B137" s="27" t="s">
        <v>14</v>
      </c>
      <c r="C137" s="28">
        <v>772</v>
      </c>
      <c r="D137" s="28">
        <v>82</v>
      </c>
      <c r="E137" s="28">
        <v>345659</v>
      </c>
      <c r="F137" s="29">
        <v>3.52</v>
      </c>
      <c r="G137" s="28">
        <v>27753</v>
      </c>
      <c r="H137" s="131">
        <f t="shared" si="8"/>
        <v>1.9961869935398759E-3</v>
      </c>
      <c r="I137" s="111">
        <f t="shared" si="9"/>
        <v>690</v>
      </c>
      <c r="J137"/>
      <c r="K137"/>
      <c r="L137" s="111"/>
      <c r="Q137"/>
      <c r="R137"/>
    </row>
    <row r="138" spans="1:18" ht="15.75" customHeight="1">
      <c r="A138" s="26">
        <v>45761</v>
      </c>
      <c r="B138" s="27" t="s">
        <v>23</v>
      </c>
      <c r="C138" s="28">
        <v>1472</v>
      </c>
      <c r="D138" s="28">
        <v>137</v>
      </c>
      <c r="E138" s="28">
        <v>213950</v>
      </c>
      <c r="F138" s="29">
        <v>6.96</v>
      </c>
      <c r="G138" s="28">
        <v>23736</v>
      </c>
      <c r="H138" s="131">
        <f t="shared" si="8"/>
        <v>6.2397756485160086E-3</v>
      </c>
      <c r="I138" s="111">
        <f t="shared" si="9"/>
        <v>1335</v>
      </c>
      <c r="J138"/>
      <c r="K138"/>
      <c r="L138" s="111"/>
      <c r="Q138"/>
      <c r="R138"/>
    </row>
    <row r="139" spans="1:18" ht="15.75" customHeight="1">
      <c r="A139" s="26">
        <v>45761</v>
      </c>
      <c r="B139" s="27" t="s">
        <v>28</v>
      </c>
      <c r="C139" s="28">
        <v>1472</v>
      </c>
      <c r="D139" s="28">
        <v>281</v>
      </c>
      <c r="E139" s="28">
        <v>258115</v>
      </c>
      <c r="F139" s="29">
        <v>7.23</v>
      </c>
      <c r="G139" s="28">
        <v>27393</v>
      </c>
      <c r="H139" s="131">
        <f t="shared" si="8"/>
        <v>4.6142223427541986E-3</v>
      </c>
      <c r="I139" s="111">
        <f t="shared" si="9"/>
        <v>1191</v>
      </c>
      <c r="J139" s="111"/>
      <c r="K139" s="111"/>
      <c r="L139" s="111"/>
      <c r="Q139"/>
      <c r="R139"/>
    </row>
    <row r="140" spans="1:18" ht="15.75" customHeight="1">
      <c r="A140" s="26">
        <v>45768</v>
      </c>
      <c r="B140" s="27" t="s">
        <v>14</v>
      </c>
      <c r="C140" s="28">
        <v>585</v>
      </c>
      <c r="D140" s="28">
        <v>232</v>
      </c>
      <c r="E140" s="28">
        <v>321258</v>
      </c>
      <c r="F140" s="29">
        <v>7.42</v>
      </c>
      <c r="G140" s="28">
        <v>10343</v>
      </c>
      <c r="H140" s="131">
        <f t="shared" si="8"/>
        <v>1.0988053215795403E-3</v>
      </c>
      <c r="I140" s="111">
        <f t="shared" si="9"/>
        <v>353</v>
      </c>
      <c r="J140" s="111"/>
      <c r="K140" s="111"/>
      <c r="L140" s="111"/>
      <c r="Q140"/>
      <c r="R140"/>
    </row>
    <row r="141" spans="1:18" ht="15.75" customHeight="1">
      <c r="A141" s="26">
        <v>45768</v>
      </c>
      <c r="B141" s="27" t="s">
        <v>23</v>
      </c>
      <c r="C141" s="28">
        <v>747</v>
      </c>
      <c r="D141" s="28">
        <v>261</v>
      </c>
      <c r="E141" s="28">
        <v>338650</v>
      </c>
      <c r="F141" s="29">
        <v>7.73</v>
      </c>
      <c r="G141" s="28">
        <v>25259</v>
      </c>
      <c r="H141" s="131">
        <f t="shared" si="8"/>
        <v>1.4351099955706482E-3</v>
      </c>
      <c r="I141" s="111">
        <f t="shared" si="9"/>
        <v>486</v>
      </c>
      <c r="J141" s="111"/>
      <c r="K141" s="111"/>
      <c r="L141" s="111"/>
      <c r="Q141"/>
      <c r="R141"/>
    </row>
    <row r="142" spans="1:18" ht="15.75" customHeight="1">
      <c r="A142" s="26">
        <v>45768</v>
      </c>
      <c r="B142" s="27" t="s">
        <v>28</v>
      </c>
      <c r="C142" s="28">
        <v>1113</v>
      </c>
      <c r="D142" s="28">
        <v>224</v>
      </c>
      <c r="E142" s="28">
        <v>272989</v>
      </c>
      <c r="F142" s="29">
        <v>5.13</v>
      </c>
      <c r="G142" s="28">
        <v>24827</v>
      </c>
      <c r="H142" s="131">
        <f t="shared" si="8"/>
        <v>3.2565414723670183E-3</v>
      </c>
      <c r="I142" s="111">
        <f t="shared" si="9"/>
        <v>889</v>
      </c>
      <c r="J142" s="111"/>
      <c r="K142" s="111"/>
      <c r="L142" s="111"/>
      <c r="Q142"/>
      <c r="R142"/>
    </row>
    <row r="143" spans="1:18" ht="15.75" customHeight="1">
      <c r="A143" s="26">
        <v>45775</v>
      </c>
      <c r="B143" s="27" t="s">
        <v>14</v>
      </c>
      <c r="C143" s="28">
        <v>1100</v>
      </c>
      <c r="D143" s="28">
        <v>117</v>
      </c>
      <c r="E143" s="28">
        <v>260204</v>
      </c>
      <c r="F143" s="29">
        <v>4.4000000000000004</v>
      </c>
      <c r="G143" s="28">
        <v>11908</v>
      </c>
      <c r="H143" s="131">
        <f t="shared" si="8"/>
        <v>3.7778051067623862E-3</v>
      </c>
      <c r="I143" s="111">
        <f t="shared" si="9"/>
        <v>983</v>
      </c>
      <c r="J143" s="111"/>
      <c r="K143" s="111"/>
      <c r="L143" s="111"/>
      <c r="Q143"/>
      <c r="R143"/>
    </row>
    <row r="144" spans="1:18" ht="15.75" customHeight="1">
      <c r="A144" s="26">
        <v>45775</v>
      </c>
      <c r="B144" s="27" t="s">
        <v>23</v>
      </c>
      <c r="C144" s="28">
        <v>751</v>
      </c>
      <c r="D144" s="28">
        <v>170</v>
      </c>
      <c r="E144" s="28">
        <v>283278</v>
      </c>
      <c r="F144" s="29">
        <v>3.49</v>
      </c>
      <c r="G144" s="28">
        <v>11005</v>
      </c>
      <c r="H144" s="131">
        <f t="shared" si="8"/>
        <v>2.0509887813384732E-3</v>
      </c>
      <c r="I144" s="111">
        <f t="shared" si="9"/>
        <v>581</v>
      </c>
      <c r="J144" s="111"/>
      <c r="K144" s="111"/>
      <c r="L144" s="111"/>
      <c r="Q144"/>
      <c r="R144"/>
    </row>
    <row r="145" spans="1:18" ht="15.75" customHeight="1">
      <c r="A145" s="26">
        <v>45775</v>
      </c>
      <c r="B145" s="27" t="s">
        <v>28</v>
      </c>
      <c r="C145" s="28">
        <v>864</v>
      </c>
      <c r="D145" s="28">
        <v>50</v>
      </c>
      <c r="E145" s="28">
        <v>277445</v>
      </c>
      <c r="F145" s="29">
        <v>3.57</v>
      </c>
      <c r="G145" s="28">
        <v>26333</v>
      </c>
      <c r="H145" s="131">
        <f t="shared" si="8"/>
        <v>2.9339148299662998E-3</v>
      </c>
      <c r="I145" s="111">
        <f t="shared" si="9"/>
        <v>814</v>
      </c>
      <c r="J145" s="111"/>
      <c r="K145" s="111"/>
      <c r="L145" s="111"/>
      <c r="Q145"/>
      <c r="R145"/>
    </row>
    <row r="146" spans="1:18" ht="15.75" customHeight="1">
      <c r="A146" s="26">
        <v>45782</v>
      </c>
      <c r="B146" s="27" t="s">
        <v>14</v>
      </c>
      <c r="C146" s="28">
        <v>1146</v>
      </c>
      <c r="D146" s="28">
        <v>227</v>
      </c>
      <c r="E146" s="28">
        <v>353781</v>
      </c>
      <c r="F146" s="29">
        <v>6.41</v>
      </c>
      <c r="G146" s="28">
        <v>5495</v>
      </c>
      <c r="H146" s="131">
        <f t="shared" si="8"/>
        <v>2.5976522198761379E-3</v>
      </c>
      <c r="I146" s="111">
        <f t="shared" si="9"/>
        <v>919</v>
      </c>
      <c r="J146" s="111"/>
      <c r="K146" s="111"/>
      <c r="L146" s="111"/>
      <c r="Q146"/>
      <c r="R146"/>
    </row>
    <row r="147" spans="1:18" ht="15.75" customHeight="1">
      <c r="A147" s="26">
        <v>45782</v>
      </c>
      <c r="B147" s="27" t="s">
        <v>23</v>
      </c>
      <c r="C147" s="28">
        <v>883</v>
      </c>
      <c r="D147" s="28">
        <v>207</v>
      </c>
      <c r="E147" s="28">
        <v>265019</v>
      </c>
      <c r="F147" s="29">
        <v>6.04</v>
      </c>
      <c r="G147" s="28">
        <v>15655</v>
      </c>
      <c r="H147" s="131">
        <f t="shared" si="8"/>
        <v>2.5507605115104954E-3</v>
      </c>
      <c r="I147" s="111">
        <f t="shared" si="9"/>
        <v>676</v>
      </c>
      <c r="J147" s="111"/>
      <c r="K147" s="111"/>
      <c r="L147" s="111"/>
      <c r="Q147"/>
      <c r="R147"/>
    </row>
    <row r="148" spans="1:18" ht="15.75" customHeight="1">
      <c r="A148" s="26">
        <v>45782</v>
      </c>
      <c r="B148" s="27" t="s">
        <v>28</v>
      </c>
      <c r="C148" s="28">
        <v>622</v>
      </c>
      <c r="D148" s="28">
        <v>163</v>
      </c>
      <c r="E148" s="28">
        <v>231925</v>
      </c>
      <c r="F148" s="29">
        <v>9.18</v>
      </c>
      <c r="G148" s="28">
        <v>13763</v>
      </c>
      <c r="H148" s="131">
        <f t="shared" si="8"/>
        <v>1.9790880672631238E-3</v>
      </c>
      <c r="I148" s="111">
        <f t="shared" si="9"/>
        <v>459</v>
      </c>
      <c r="J148" s="111"/>
      <c r="K148" s="111"/>
      <c r="L148" s="111"/>
      <c r="Q148"/>
      <c r="R148"/>
    </row>
    <row r="149" spans="1:18" ht="15.75" customHeight="1">
      <c r="A149" s="26">
        <v>45789</v>
      </c>
      <c r="B149" s="27" t="s">
        <v>14</v>
      </c>
      <c r="C149" s="28">
        <v>837</v>
      </c>
      <c r="D149" s="28">
        <v>261</v>
      </c>
      <c r="E149" s="28">
        <v>366149</v>
      </c>
      <c r="F149" s="29">
        <v>6.54</v>
      </c>
      <c r="G149" s="28">
        <v>26073</v>
      </c>
      <c r="H149" s="131">
        <f t="shared" si="8"/>
        <v>1.5731300645365684E-3</v>
      </c>
      <c r="I149" s="111">
        <f t="shared" si="9"/>
        <v>576</v>
      </c>
      <c r="J149" s="111"/>
      <c r="K149" s="111"/>
      <c r="L149" s="111"/>
      <c r="Q149"/>
      <c r="R149"/>
    </row>
    <row r="150" spans="1:18" ht="15.75" customHeight="1">
      <c r="A150" s="26">
        <v>45789</v>
      </c>
      <c r="B150" s="27" t="s">
        <v>23</v>
      </c>
      <c r="C150" s="28">
        <v>544</v>
      </c>
      <c r="D150" s="28">
        <v>97</v>
      </c>
      <c r="E150" s="28">
        <v>168375</v>
      </c>
      <c r="F150" s="29">
        <v>8.66</v>
      </c>
      <c r="G150" s="28">
        <v>12774</v>
      </c>
      <c r="H150" s="131">
        <f t="shared" si="8"/>
        <v>2.6547884187082403E-3</v>
      </c>
      <c r="I150" s="111">
        <f t="shared" si="9"/>
        <v>447</v>
      </c>
      <c r="J150" s="111"/>
      <c r="K150" s="111"/>
      <c r="L150" s="111"/>
      <c r="Q150"/>
      <c r="R150"/>
    </row>
    <row r="151" spans="1:18" ht="15.75" customHeight="1">
      <c r="A151" s="26">
        <v>45789</v>
      </c>
      <c r="B151" s="27" t="s">
        <v>28</v>
      </c>
      <c r="C151" s="28">
        <v>624</v>
      </c>
      <c r="D151" s="28">
        <v>247</v>
      </c>
      <c r="E151" s="28">
        <v>252763</v>
      </c>
      <c r="F151" s="29">
        <v>3.89</v>
      </c>
      <c r="G151" s="28">
        <v>19000</v>
      </c>
      <c r="H151" s="131">
        <f t="shared" si="8"/>
        <v>1.4915157677349929E-3</v>
      </c>
      <c r="I151" s="111">
        <f t="shared" si="9"/>
        <v>377</v>
      </c>
      <c r="J151" s="111"/>
      <c r="K151" s="111"/>
      <c r="L151" s="111"/>
      <c r="Q151"/>
      <c r="R151"/>
    </row>
    <row r="152" spans="1:18" ht="15.75" customHeight="1">
      <c r="A152" s="26">
        <v>45796</v>
      </c>
      <c r="B152" s="27" t="s">
        <v>14</v>
      </c>
      <c r="C152" s="28">
        <v>1073</v>
      </c>
      <c r="D152" s="28">
        <v>141</v>
      </c>
      <c r="E152" s="28">
        <v>118393</v>
      </c>
      <c r="F152" s="29">
        <v>7.95</v>
      </c>
      <c r="G152" s="28">
        <v>14051</v>
      </c>
      <c r="H152" s="131">
        <f t="shared" si="8"/>
        <v>7.872087032172511E-3</v>
      </c>
      <c r="I152" s="111">
        <f t="shared" si="9"/>
        <v>932</v>
      </c>
      <c r="J152" s="111"/>
      <c r="K152" s="111"/>
      <c r="L152" s="111"/>
      <c r="Q152"/>
      <c r="R152"/>
    </row>
    <row r="153" spans="1:18" ht="15.75" customHeight="1">
      <c r="A153" s="26">
        <v>45796</v>
      </c>
      <c r="B153" s="27" t="s">
        <v>23</v>
      </c>
      <c r="C153" s="28">
        <v>1430</v>
      </c>
      <c r="D153" s="28">
        <v>74</v>
      </c>
      <c r="E153" s="28">
        <v>327012</v>
      </c>
      <c r="F153" s="29">
        <v>6.66</v>
      </c>
      <c r="G153" s="28">
        <v>27782</v>
      </c>
      <c r="H153" s="131">
        <f t="shared" si="8"/>
        <v>4.1466368206671319E-3</v>
      </c>
      <c r="I153" s="111">
        <f t="shared" si="9"/>
        <v>1356</v>
      </c>
      <c r="J153" s="111"/>
      <c r="K153" s="111"/>
      <c r="L153" s="111"/>
      <c r="Q153"/>
      <c r="R153"/>
    </row>
    <row r="154" spans="1:18" ht="15.75" customHeight="1">
      <c r="A154" s="26">
        <v>45796</v>
      </c>
      <c r="B154" s="27" t="s">
        <v>28</v>
      </c>
      <c r="C154" s="28">
        <v>1358</v>
      </c>
      <c r="D154" s="28">
        <v>77</v>
      </c>
      <c r="E154" s="28">
        <v>169688</v>
      </c>
      <c r="F154" s="29">
        <v>5.25</v>
      </c>
      <c r="G154" s="28">
        <v>7859</v>
      </c>
      <c r="H154" s="131">
        <f t="shared" si="8"/>
        <v>7.5491490264485411E-3</v>
      </c>
      <c r="I154" s="111">
        <f t="shared" si="9"/>
        <v>1281</v>
      </c>
      <c r="J154" s="111"/>
      <c r="K154" s="111"/>
      <c r="L154" s="111"/>
      <c r="Q154"/>
      <c r="R154"/>
    </row>
    <row r="155" spans="1:18" ht="15.75" customHeight="1">
      <c r="A155" s="26">
        <v>45803</v>
      </c>
      <c r="B155" s="27" t="s">
        <v>14</v>
      </c>
      <c r="C155" s="28">
        <v>1242</v>
      </c>
      <c r="D155" s="28">
        <v>201</v>
      </c>
      <c r="E155" s="28">
        <v>271935</v>
      </c>
      <c r="F155" s="29">
        <v>5.07</v>
      </c>
      <c r="G155" s="28">
        <v>15773</v>
      </c>
      <c r="H155" s="131">
        <f t="shared" si="8"/>
        <v>3.8281206906062111E-3</v>
      </c>
      <c r="I155" s="111">
        <f t="shared" si="9"/>
        <v>1041</v>
      </c>
      <c r="J155" s="111"/>
      <c r="K155" s="111"/>
      <c r="L155" s="111"/>
      <c r="Q155"/>
      <c r="R155"/>
    </row>
    <row r="156" spans="1:18" ht="15.75" customHeight="1">
      <c r="A156" s="26">
        <v>45803</v>
      </c>
      <c r="B156" s="27" t="s">
        <v>23</v>
      </c>
      <c r="C156" s="28">
        <v>1389</v>
      </c>
      <c r="D156" s="28">
        <v>205</v>
      </c>
      <c r="E156" s="28">
        <v>315981</v>
      </c>
      <c r="F156" s="29">
        <v>7.62</v>
      </c>
      <c r="G156" s="28">
        <v>20595</v>
      </c>
      <c r="H156" s="131">
        <f t="shared" si="8"/>
        <v>3.7470607409939207E-3</v>
      </c>
      <c r="I156" s="111">
        <f t="shared" si="9"/>
        <v>1184</v>
      </c>
      <c r="J156" s="111"/>
      <c r="K156" s="111"/>
      <c r="L156" s="111"/>
      <c r="Q156"/>
      <c r="R156"/>
    </row>
    <row r="157" spans="1:18" ht="15.75" customHeight="1">
      <c r="A157" s="26">
        <v>45803</v>
      </c>
      <c r="B157" s="27" t="s">
        <v>28</v>
      </c>
      <c r="C157" s="28">
        <v>826</v>
      </c>
      <c r="D157" s="28">
        <v>142</v>
      </c>
      <c r="E157" s="28">
        <v>341016</v>
      </c>
      <c r="F157" s="29">
        <v>7.44</v>
      </c>
      <c r="G157" s="28">
        <v>12031</v>
      </c>
      <c r="H157" s="131">
        <f t="shared" si="8"/>
        <v>2.005770990217468E-3</v>
      </c>
      <c r="I157" s="111">
        <f t="shared" si="9"/>
        <v>684</v>
      </c>
      <c r="J157" s="111"/>
      <c r="K157" s="111"/>
      <c r="L157" s="111"/>
      <c r="Q157"/>
      <c r="R157"/>
    </row>
    <row r="158" spans="1:18" ht="15.75" customHeight="1">
      <c r="A158" s="26">
        <v>45810</v>
      </c>
      <c r="B158" s="27" t="s">
        <v>14</v>
      </c>
      <c r="C158" s="28">
        <v>618</v>
      </c>
      <c r="D158" s="28">
        <v>264</v>
      </c>
      <c r="E158" s="28">
        <v>285164</v>
      </c>
      <c r="F158" s="29">
        <v>4.8600000000000003</v>
      </c>
      <c r="G158" s="28">
        <v>15128</v>
      </c>
      <c r="H158" s="131">
        <f t="shared" si="8"/>
        <v>1.2413909189098204E-3</v>
      </c>
      <c r="I158" s="111">
        <f t="shared" si="9"/>
        <v>354</v>
      </c>
      <c r="J158" s="111"/>
      <c r="K158" s="111"/>
      <c r="L158" s="111"/>
      <c r="Q158"/>
      <c r="R158"/>
    </row>
    <row r="159" spans="1:18" ht="15.75" customHeight="1">
      <c r="A159" s="26">
        <v>45810</v>
      </c>
      <c r="B159" s="27" t="s">
        <v>23</v>
      </c>
      <c r="C159" s="28">
        <v>1419</v>
      </c>
      <c r="D159" s="28">
        <v>293</v>
      </c>
      <c r="E159" s="28">
        <v>116632</v>
      </c>
      <c r="F159" s="29">
        <v>6.93</v>
      </c>
      <c r="G159" s="28">
        <v>11826</v>
      </c>
      <c r="H159" s="131">
        <f t="shared" si="8"/>
        <v>9.6542972769051369E-3</v>
      </c>
      <c r="I159" s="111">
        <f t="shared" si="9"/>
        <v>1126</v>
      </c>
      <c r="J159" s="111"/>
      <c r="K159" s="111"/>
      <c r="L159" s="111"/>
      <c r="Q159"/>
      <c r="R159"/>
    </row>
    <row r="160" spans="1:18" ht="15.75" customHeight="1">
      <c r="A160" s="26">
        <v>45810</v>
      </c>
      <c r="B160" s="27" t="s">
        <v>28</v>
      </c>
      <c r="C160" s="28">
        <v>637</v>
      </c>
      <c r="D160" s="28">
        <v>68</v>
      </c>
      <c r="E160" s="28">
        <v>115694</v>
      </c>
      <c r="F160" s="29">
        <v>9.99</v>
      </c>
      <c r="G160" s="28">
        <v>12562</v>
      </c>
      <c r="H160" s="131">
        <f t="shared" si="8"/>
        <v>4.9181461441388493E-3</v>
      </c>
      <c r="I160" s="111">
        <f t="shared" si="9"/>
        <v>569</v>
      </c>
      <c r="J160" s="111"/>
      <c r="K160" s="111"/>
      <c r="L160" s="111"/>
      <c r="Q160"/>
      <c r="R160"/>
    </row>
    <row r="161" spans="1:18" ht="15.75" customHeight="1">
      <c r="A161" s="26">
        <v>45817</v>
      </c>
      <c r="B161" s="27" t="s">
        <v>14</v>
      </c>
      <c r="C161" s="28">
        <v>917</v>
      </c>
      <c r="D161" s="28">
        <v>187</v>
      </c>
      <c r="E161" s="28">
        <v>64444</v>
      </c>
      <c r="F161" s="29">
        <v>5.22</v>
      </c>
      <c r="G161" s="28">
        <v>13013</v>
      </c>
      <c r="H161" s="131">
        <f t="shared" si="8"/>
        <v>1.1327664328719508E-2</v>
      </c>
      <c r="I161" s="111">
        <f t="shared" si="9"/>
        <v>730</v>
      </c>
      <c r="J161" s="111"/>
      <c r="K161" s="111"/>
      <c r="L161" s="111"/>
      <c r="Q161"/>
      <c r="R161"/>
    </row>
    <row r="162" spans="1:18" ht="15.75" customHeight="1">
      <c r="A162" s="26">
        <v>45817</v>
      </c>
      <c r="B162" s="27" t="s">
        <v>23</v>
      </c>
      <c r="C162" s="28">
        <v>810</v>
      </c>
      <c r="D162" s="28">
        <v>232</v>
      </c>
      <c r="E162" s="28">
        <v>362559</v>
      </c>
      <c r="F162" s="29">
        <v>5.17</v>
      </c>
      <c r="G162" s="28">
        <v>12937</v>
      </c>
      <c r="H162" s="131">
        <f t="shared" ref="H162:H193" si="10">(C162-D162)/E162</f>
        <v>1.5942232850377457E-3</v>
      </c>
      <c r="I162" s="111">
        <f t="shared" ref="I162:I193" si="11">C162-D162</f>
        <v>578</v>
      </c>
      <c r="J162" s="111"/>
      <c r="K162" s="111"/>
      <c r="L162" s="111"/>
      <c r="Q162"/>
      <c r="R162"/>
    </row>
    <row r="163" spans="1:18" ht="15.75" customHeight="1">
      <c r="A163" s="26">
        <v>45817</v>
      </c>
      <c r="B163" s="27" t="s">
        <v>28</v>
      </c>
      <c r="C163" s="28">
        <v>1183</v>
      </c>
      <c r="D163" s="28">
        <v>248</v>
      </c>
      <c r="E163" s="28">
        <v>226881</v>
      </c>
      <c r="F163" s="29">
        <v>5.17</v>
      </c>
      <c r="G163" s="28">
        <v>14534</v>
      </c>
      <c r="H163" s="131">
        <f t="shared" si="10"/>
        <v>4.1211031333606603E-3</v>
      </c>
      <c r="I163" s="111">
        <f t="shared" si="11"/>
        <v>935</v>
      </c>
      <c r="J163" s="111"/>
      <c r="K163" s="111"/>
      <c r="L163" s="111"/>
      <c r="Q163"/>
      <c r="R163"/>
    </row>
    <row r="164" spans="1:18" ht="15.75" customHeight="1">
      <c r="A164" s="26">
        <v>45824</v>
      </c>
      <c r="B164" s="27" t="s">
        <v>14</v>
      </c>
      <c r="C164" s="28">
        <v>765</v>
      </c>
      <c r="D164" s="28">
        <v>67</v>
      </c>
      <c r="E164" s="28">
        <v>283537</v>
      </c>
      <c r="F164" s="29">
        <v>6.18</v>
      </c>
      <c r="G164" s="28">
        <v>8182</v>
      </c>
      <c r="H164" s="131">
        <f t="shared" si="10"/>
        <v>2.4617598408673293E-3</v>
      </c>
      <c r="I164" s="111">
        <f t="shared" si="11"/>
        <v>698</v>
      </c>
      <c r="J164" s="111"/>
      <c r="K164" s="111"/>
      <c r="L164" s="111"/>
      <c r="Q164"/>
      <c r="R164"/>
    </row>
    <row r="165" spans="1:18" ht="15.75" customHeight="1">
      <c r="A165" s="26">
        <v>45824</v>
      </c>
      <c r="B165" s="27" t="s">
        <v>23</v>
      </c>
      <c r="C165" s="28">
        <v>540</v>
      </c>
      <c r="D165" s="28">
        <v>215</v>
      </c>
      <c r="E165" s="28">
        <v>62837</v>
      </c>
      <c r="F165" s="29">
        <v>5.3</v>
      </c>
      <c r="G165" s="28">
        <v>10615</v>
      </c>
      <c r="H165" s="131">
        <f t="shared" si="10"/>
        <v>5.1721119722456512E-3</v>
      </c>
      <c r="I165" s="111">
        <f t="shared" si="11"/>
        <v>325</v>
      </c>
      <c r="J165" s="111"/>
      <c r="K165" s="111"/>
      <c r="L165" s="111"/>
      <c r="Q165"/>
      <c r="R165"/>
    </row>
    <row r="166" spans="1:18" ht="15.75" customHeight="1">
      <c r="A166" s="26">
        <v>45824</v>
      </c>
      <c r="B166" s="27" t="s">
        <v>28</v>
      </c>
      <c r="C166" s="28">
        <v>1145</v>
      </c>
      <c r="D166" s="28">
        <v>151</v>
      </c>
      <c r="E166" s="28">
        <v>182759</v>
      </c>
      <c r="F166" s="29">
        <v>5.99</v>
      </c>
      <c r="G166" s="28">
        <v>20109</v>
      </c>
      <c r="H166" s="131">
        <f t="shared" si="10"/>
        <v>5.4388566363352828E-3</v>
      </c>
      <c r="I166" s="111">
        <f t="shared" si="11"/>
        <v>994</v>
      </c>
      <c r="J166" s="111"/>
      <c r="K166" s="111"/>
      <c r="L166" s="111"/>
      <c r="Q166"/>
      <c r="R166"/>
    </row>
    <row r="167" spans="1:18" ht="15.75" customHeight="1">
      <c r="A167" s="26">
        <v>45831</v>
      </c>
      <c r="B167" s="27" t="s">
        <v>14</v>
      </c>
      <c r="C167" s="28">
        <v>564</v>
      </c>
      <c r="D167" s="28">
        <v>244</v>
      </c>
      <c r="E167" s="28">
        <v>279405</v>
      </c>
      <c r="F167" s="29">
        <v>8.43</v>
      </c>
      <c r="G167" s="28">
        <v>26024</v>
      </c>
      <c r="H167" s="131">
        <f t="shared" si="10"/>
        <v>1.1452908859898713E-3</v>
      </c>
      <c r="I167" s="111">
        <f t="shared" si="11"/>
        <v>320</v>
      </c>
      <c r="J167" s="111"/>
      <c r="K167" s="111"/>
      <c r="L167" s="111"/>
      <c r="Q167"/>
      <c r="R167"/>
    </row>
    <row r="168" spans="1:18" ht="15.75" customHeight="1">
      <c r="A168" s="26">
        <v>45831</v>
      </c>
      <c r="B168" s="27" t="s">
        <v>23</v>
      </c>
      <c r="C168" s="28">
        <v>668</v>
      </c>
      <c r="D168" s="28">
        <v>124</v>
      </c>
      <c r="E168" s="28">
        <v>257485</v>
      </c>
      <c r="F168" s="29">
        <v>7.55</v>
      </c>
      <c r="G168" s="28">
        <v>26730</v>
      </c>
      <c r="H168" s="131">
        <f t="shared" si="10"/>
        <v>2.1127444317144686E-3</v>
      </c>
      <c r="I168" s="111">
        <f t="shared" si="11"/>
        <v>544</v>
      </c>
      <c r="J168" s="111"/>
      <c r="K168" s="111"/>
      <c r="L168" s="111"/>
      <c r="Q168"/>
      <c r="R168"/>
    </row>
    <row r="169" spans="1:18" ht="15.75" customHeight="1">
      <c r="A169" s="26">
        <v>45831</v>
      </c>
      <c r="B169" s="27" t="s">
        <v>28</v>
      </c>
      <c r="C169" s="28">
        <v>761</v>
      </c>
      <c r="D169" s="28">
        <v>241</v>
      </c>
      <c r="E169" s="28">
        <v>154977</v>
      </c>
      <c r="F169" s="29">
        <v>5.63</v>
      </c>
      <c r="G169" s="28">
        <v>10563</v>
      </c>
      <c r="H169" s="131">
        <f t="shared" si="10"/>
        <v>3.3553365983339462E-3</v>
      </c>
      <c r="I169" s="111">
        <f t="shared" si="11"/>
        <v>520</v>
      </c>
      <c r="J169" s="111"/>
      <c r="K169" s="111"/>
      <c r="L169" s="111"/>
      <c r="Q169"/>
      <c r="R169"/>
    </row>
    <row r="170" spans="1:18" ht="15.75" customHeight="1">
      <c r="A170" s="26">
        <v>45838</v>
      </c>
      <c r="B170" s="27" t="s">
        <v>14</v>
      </c>
      <c r="C170" s="28">
        <v>593</v>
      </c>
      <c r="D170" s="28">
        <v>108</v>
      </c>
      <c r="E170" s="28">
        <v>216500</v>
      </c>
      <c r="F170" s="29">
        <v>4.71</v>
      </c>
      <c r="G170" s="28">
        <v>27575</v>
      </c>
      <c r="H170" s="131">
        <f t="shared" si="10"/>
        <v>2.2401847575057735E-3</v>
      </c>
      <c r="I170" s="111">
        <f t="shared" si="11"/>
        <v>485</v>
      </c>
      <c r="J170" s="111"/>
      <c r="K170" s="111"/>
      <c r="L170" s="111"/>
      <c r="Q170"/>
      <c r="R170"/>
    </row>
    <row r="171" spans="1:18" ht="15.75" customHeight="1">
      <c r="A171" s="26">
        <v>45838</v>
      </c>
      <c r="B171" s="27" t="s">
        <v>23</v>
      </c>
      <c r="C171" s="28">
        <v>1349</v>
      </c>
      <c r="D171" s="28">
        <v>115</v>
      </c>
      <c r="E171" s="28">
        <v>102102</v>
      </c>
      <c r="F171" s="29">
        <v>5.28</v>
      </c>
      <c r="G171" s="28">
        <v>14479</v>
      </c>
      <c r="H171" s="131">
        <f t="shared" si="10"/>
        <v>1.208595326242385E-2</v>
      </c>
      <c r="I171" s="111">
        <f t="shared" si="11"/>
        <v>1234</v>
      </c>
      <c r="J171" s="111"/>
      <c r="K171" s="111"/>
      <c r="L171" s="111"/>
      <c r="Q171"/>
      <c r="R171"/>
    </row>
    <row r="172" spans="1:18" ht="15.75" customHeight="1">
      <c r="A172" s="26">
        <v>45838</v>
      </c>
      <c r="B172" s="27" t="s">
        <v>28</v>
      </c>
      <c r="C172" s="28">
        <v>693</v>
      </c>
      <c r="D172" s="28">
        <v>97</v>
      </c>
      <c r="E172" s="28">
        <v>92025</v>
      </c>
      <c r="F172" s="29">
        <v>5.95</v>
      </c>
      <c r="G172" s="28">
        <v>15915</v>
      </c>
      <c r="H172" s="131">
        <f t="shared" si="10"/>
        <v>6.4765009508285796E-3</v>
      </c>
      <c r="I172" s="111">
        <f t="shared" si="11"/>
        <v>596</v>
      </c>
      <c r="J172" s="111"/>
      <c r="K172" s="111"/>
      <c r="L172" s="111"/>
      <c r="Q172"/>
      <c r="R172"/>
    </row>
    <row r="173" spans="1:18" ht="15.75" customHeight="1">
      <c r="A173" s="26">
        <v>45845</v>
      </c>
      <c r="B173" s="27" t="s">
        <v>14</v>
      </c>
      <c r="C173" s="28">
        <v>974</v>
      </c>
      <c r="D173" s="28">
        <v>143</v>
      </c>
      <c r="E173" s="28">
        <v>247965</v>
      </c>
      <c r="F173" s="29">
        <v>9.98</v>
      </c>
      <c r="G173" s="28">
        <v>12767</v>
      </c>
      <c r="H173" s="131">
        <f t="shared" si="10"/>
        <v>3.3512794144334888E-3</v>
      </c>
      <c r="I173" s="111">
        <f t="shared" si="11"/>
        <v>831</v>
      </c>
      <c r="J173" s="111"/>
      <c r="K173" s="111"/>
      <c r="L173" s="111"/>
      <c r="Q173"/>
      <c r="R173"/>
    </row>
    <row r="174" spans="1:18" ht="15.75" customHeight="1">
      <c r="A174" s="26">
        <v>45845</v>
      </c>
      <c r="B174" s="27" t="s">
        <v>23</v>
      </c>
      <c r="C174" s="28">
        <v>1155</v>
      </c>
      <c r="D174" s="28">
        <v>122</v>
      </c>
      <c r="E174" s="28">
        <v>387352</v>
      </c>
      <c r="F174" s="29">
        <v>9.93</v>
      </c>
      <c r="G174" s="28">
        <v>12170</v>
      </c>
      <c r="H174" s="131">
        <f t="shared" si="10"/>
        <v>2.6668250067122413E-3</v>
      </c>
      <c r="I174" s="111">
        <f t="shared" si="11"/>
        <v>1033</v>
      </c>
      <c r="J174" s="111"/>
      <c r="K174" s="111"/>
      <c r="L174" s="111"/>
      <c r="Q174"/>
      <c r="R174"/>
    </row>
    <row r="175" spans="1:18" ht="15.75" customHeight="1">
      <c r="A175" s="26">
        <v>45845</v>
      </c>
      <c r="B175" s="27" t="s">
        <v>28</v>
      </c>
      <c r="C175" s="28">
        <v>1051</v>
      </c>
      <c r="D175" s="28">
        <v>246</v>
      </c>
      <c r="E175" s="28">
        <v>253985</v>
      </c>
      <c r="F175" s="29">
        <v>9.08</v>
      </c>
      <c r="G175" s="28">
        <v>7245</v>
      </c>
      <c r="H175" s="131">
        <f t="shared" si="10"/>
        <v>3.1694785125105812E-3</v>
      </c>
      <c r="I175" s="111">
        <f t="shared" si="11"/>
        <v>805</v>
      </c>
      <c r="J175" s="111"/>
      <c r="K175" s="111"/>
      <c r="L175" s="111"/>
      <c r="Q175"/>
      <c r="R175"/>
    </row>
    <row r="176" spans="1:18" ht="15.75" customHeight="1">
      <c r="A176" s="26">
        <v>45852</v>
      </c>
      <c r="B176" s="27" t="s">
        <v>14</v>
      </c>
      <c r="C176" s="28">
        <v>1457</v>
      </c>
      <c r="D176" s="28">
        <v>183</v>
      </c>
      <c r="E176" s="28">
        <v>129640</v>
      </c>
      <c r="F176" s="29">
        <v>7.98</v>
      </c>
      <c r="G176" s="28">
        <v>12985</v>
      </c>
      <c r="H176" s="131">
        <f t="shared" si="10"/>
        <v>9.827213822894169E-3</v>
      </c>
      <c r="I176" s="111">
        <f t="shared" si="11"/>
        <v>1274</v>
      </c>
      <c r="J176" s="111"/>
      <c r="K176" s="111"/>
      <c r="L176" s="111"/>
      <c r="Q176"/>
      <c r="R176"/>
    </row>
    <row r="177" spans="1:18" ht="15.75" customHeight="1">
      <c r="A177" s="26">
        <v>45852</v>
      </c>
      <c r="B177" s="27" t="s">
        <v>23</v>
      </c>
      <c r="C177" s="28">
        <v>670</v>
      </c>
      <c r="D177" s="28">
        <v>242</v>
      </c>
      <c r="E177" s="28">
        <v>281913</v>
      </c>
      <c r="F177" s="29">
        <v>9.6199999999999992</v>
      </c>
      <c r="G177" s="28">
        <v>16377</v>
      </c>
      <c r="H177" s="131">
        <f t="shared" si="10"/>
        <v>1.5181988769584942E-3</v>
      </c>
      <c r="I177" s="111">
        <f t="shared" si="11"/>
        <v>428</v>
      </c>
      <c r="J177" s="111"/>
      <c r="K177" s="111"/>
      <c r="L177" s="111"/>
      <c r="Q177"/>
      <c r="R177"/>
    </row>
    <row r="178" spans="1:18" ht="15.75" customHeight="1">
      <c r="A178" s="26">
        <v>45852</v>
      </c>
      <c r="B178" s="27" t="s">
        <v>28</v>
      </c>
      <c r="C178" s="28">
        <v>1111</v>
      </c>
      <c r="D178" s="28">
        <v>159</v>
      </c>
      <c r="E178" s="28">
        <v>360770</v>
      </c>
      <c r="F178" s="29">
        <v>8.7100000000000009</v>
      </c>
      <c r="G178" s="28">
        <v>11453</v>
      </c>
      <c r="H178" s="131">
        <f t="shared" si="10"/>
        <v>2.6388003437092886E-3</v>
      </c>
      <c r="I178" s="111">
        <f t="shared" si="11"/>
        <v>952</v>
      </c>
      <c r="J178" s="111"/>
      <c r="K178" s="111"/>
      <c r="L178" s="111"/>
      <c r="Q178"/>
      <c r="R178"/>
    </row>
    <row r="179" spans="1:18" ht="15.75" customHeight="1">
      <c r="A179" s="26">
        <v>45859</v>
      </c>
      <c r="B179" s="27" t="s">
        <v>14</v>
      </c>
      <c r="C179" s="28">
        <v>1197</v>
      </c>
      <c r="D179" s="28">
        <v>246</v>
      </c>
      <c r="E179" s="28">
        <v>127273</v>
      </c>
      <c r="F179" s="29">
        <v>6.69</v>
      </c>
      <c r="G179" s="28">
        <v>12323</v>
      </c>
      <c r="H179" s="131">
        <f t="shared" si="10"/>
        <v>7.4721268454424738E-3</v>
      </c>
      <c r="I179" s="111">
        <f t="shared" si="11"/>
        <v>951</v>
      </c>
      <c r="J179" s="111"/>
      <c r="K179" s="111"/>
      <c r="L179" s="111"/>
      <c r="Q179"/>
      <c r="R179"/>
    </row>
    <row r="180" spans="1:18" ht="15.75" customHeight="1">
      <c r="A180" s="26">
        <v>45859</v>
      </c>
      <c r="B180" s="27" t="s">
        <v>23</v>
      </c>
      <c r="C180" s="28">
        <v>754</v>
      </c>
      <c r="D180" s="28">
        <v>150</v>
      </c>
      <c r="E180" s="28">
        <v>189622</v>
      </c>
      <c r="F180" s="29">
        <v>4.25</v>
      </c>
      <c r="G180" s="28">
        <v>11911</v>
      </c>
      <c r="H180" s="131">
        <f t="shared" si="10"/>
        <v>3.1852844079273504E-3</v>
      </c>
      <c r="I180" s="111">
        <f t="shared" si="11"/>
        <v>604</v>
      </c>
      <c r="J180" s="111"/>
      <c r="K180" s="111"/>
      <c r="L180" s="111"/>
      <c r="Q180"/>
      <c r="R180"/>
    </row>
    <row r="181" spans="1:18" ht="15.75" customHeight="1">
      <c r="A181" s="26">
        <v>45859</v>
      </c>
      <c r="B181" s="27" t="s">
        <v>28</v>
      </c>
      <c r="C181" s="28">
        <v>1246</v>
      </c>
      <c r="D181" s="28">
        <v>107</v>
      </c>
      <c r="E181" s="28">
        <v>350949</v>
      </c>
      <c r="F181" s="29">
        <v>4.9800000000000004</v>
      </c>
      <c r="G181" s="28">
        <v>27809</v>
      </c>
      <c r="H181" s="131">
        <f t="shared" si="10"/>
        <v>3.2454858113287115E-3</v>
      </c>
      <c r="I181" s="111">
        <f t="shared" si="11"/>
        <v>1139</v>
      </c>
      <c r="J181" s="111"/>
      <c r="K181" s="111"/>
      <c r="L181" s="111"/>
      <c r="Q181"/>
      <c r="R181"/>
    </row>
    <row r="182" spans="1:18" ht="15.75" customHeight="1">
      <c r="A182" s="26">
        <v>45866</v>
      </c>
      <c r="B182" s="27" t="s">
        <v>14</v>
      </c>
      <c r="C182" s="28">
        <v>780</v>
      </c>
      <c r="D182" s="28">
        <v>213</v>
      </c>
      <c r="E182" s="28">
        <v>121431</v>
      </c>
      <c r="F182" s="29">
        <v>4.97</v>
      </c>
      <c r="G182" s="28">
        <v>21464</v>
      </c>
      <c r="H182" s="131">
        <f t="shared" si="10"/>
        <v>4.669318378338316E-3</v>
      </c>
      <c r="I182" s="111">
        <f t="shared" si="11"/>
        <v>567</v>
      </c>
      <c r="J182" s="111"/>
      <c r="K182" s="111"/>
      <c r="L182" s="111"/>
      <c r="Q182"/>
      <c r="R182"/>
    </row>
    <row r="183" spans="1:18" ht="15.75" customHeight="1">
      <c r="A183" s="26">
        <v>45866</v>
      </c>
      <c r="B183" s="27" t="s">
        <v>23</v>
      </c>
      <c r="C183" s="28">
        <v>1425</v>
      </c>
      <c r="D183" s="28">
        <v>143</v>
      </c>
      <c r="E183" s="28">
        <v>116742</v>
      </c>
      <c r="F183" s="29">
        <v>3.71</v>
      </c>
      <c r="G183" s="28">
        <v>27126</v>
      </c>
      <c r="H183" s="131">
        <f t="shared" si="10"/>
        <v>1.0981480529715098E-2</v>
      </c>
      <c r="I183" s="111">
        <f t="shared" si="11"/>
        <v>1282</v>
      </c>
      <c r="J183" s="111"/>
      <c r="K183" s="111"/>
      <c r="L183" s="111"/>
      <c r="Q183"/>
      <c r="R183"/>
    </row>
    <row r="184" spans="1:18" ht="15.75" customHeight="1">
      <c r="A184" s="26">
        <v>45866</v>
      </c>
      <c r="B184" s="27" t="s">
        <v>28</v>
      </c>
      <c r="C184" s="28">
        <v>1490</v>
      </c>
      <c r="D184" s="28">
        <v>103</v>
      </c>
      <c r="E184" s="28">
        <v>81184</v>
      </c>
      <c r="F184" s="29">
        <v>7.79</v>
      </c>
      <c r="G184" s="28">
        <v>10681</v>
      </c>
      <c r="H184" s="131">
        <f t="shared" si="10"/>
        <v>1.7084647221127316E-2</v>
      </c>
      <c r="I184" s="111">
        <f t="shared" si="11"/>
        <v>1387</v>
      </c>
      <c r="J184" s="111"/>
      <c r="K184" s="111"/>
      <c r="L184" s="111"/>
      <c r="Q184"/>
      <c r="R184"/>
    </row>
    <row r="185" spans="1:18" ht="15.75" customHeight="1">
      <c r="A185" s="26">
        <v>45873</v>
      </c>
      <c r="B185" s="27" t="s">
        <v>14</v>
      </c>
      <c r="C185" s="28">
        <v>949</v>
      </c>
      <c r="D185" s="28">
        <v>282</v>
      </c>
      <c r="E185" s="28">
        <v>87126</v>
      </c>
      <c r="F185" s="29">
        <v>4.96</v>
      </c>
      <c r="G185" s="28">
        <v>5413</v>
      </c>
      <c r="H185" s="131">
        <f t="shared" si="10"/>
        <v>7.6555792759910937E-3</v>
      </c>
      <c r="I185" s="111">
        <f t="shared" si="11"/>
        <v>667</v>
      </c>
      <c r="J185" s="111"/>
      <c r="K185" s="111"/>
      <c r="L185" s="111"/>
      <c r="Q185"/>
      <c r="R185"/>
    </row>
    <row r="186" spans="1:18" ht="15.75" customHeight="1">
      <c r="A186" s="26">
        <v>45873</v>
      </c>
      <c r="B186" s="27" t="s">
        <v>23</v>
      </c>
      <c r="C186" s="28">
        <v>640</v>
      </c>
      <c r="D186" s="28">
        <v>141</v>
      </c>
      <c r="E186" s="28">
        <v>267546</v>
      </c>
      <c r="F186" s="29">
        <v>8.58</v>
      </c>
      <c r="G186" s="28">
        <v>25058</v>
      </c>
      <c r="H186" s="131">
        <f t="shared" si="10"/>
        <v>1.8650998332996943E-3</v>
      </c>
      <c r="I186" s="111">
        <f t="shared" si="11"/>
        <v>499</v>
      </c>
      <c r="J186" s="111"/>
      <c r="K186" s="111"/>
      <c r="L186" s="111"/>
      <c r="Q186"/>
      <c r="R186"/>
    </row>
    <row r="187" spans="1:18" ht="15.75" customHeight="1">
      <c r="A187" s="26">
        <v>45873</v>
      </c>
      <c r="B187" s="27" t="s">
        <v>28</v>
      </c>
      <c r="C187" s="28">
        <v>616</v>
      </c>
      <c r="D187" s="28">
        <v>93</v>
      </c>
      <c r="E187" s="28">
        <v>133082</v>
      </c>
      <c r="F187" s="29">
        <v>8.51</v>
      </c>
      <c r="G187" s="28">
        <v>18303</v>
      </c>
      <c r="H187" s="131">
        <f t="shared" si="10"/>
        <v>3.9299078763469142E-3</v>
      </c>
      <c r="I187" s="111">
        <f t="shared" si="11"/>
        <v>523</v>
      </c>
      <c r="J187" s="111"/>
      <c r="K187" s="111"/>
      <c r="L187" s="111"/>
      <c r="Q187"/>
      <c r="R187"/>
    </row>
    <row r="188" spans="1:18" ht="15.75" customHeight="1">
      <c r="A188" s="26">
        <v>45880</v>
      </c>
      <c r="B188" s="27" t="s">
        <v>14</v>
      </c>
      <c r="C188" s="28">
        <v>1080</v>
      </c>
      <c r="D188" s="28">
        <v>184</v>
      </c>
      <c r="E188" s="28">
        <v>340557</v>
      </c>
      <c r="F188" s="29">
        <v>5.41</v>
      </c>
      <c r="G188" s="28">
        <v>5526</v>
      </c>
      <c r="H188" s="131">
        <f t="shared" si="10"/>
        <v>2.6309839468870114E-3</v>
      </c>
      <c r="I188" s="111">
        <f t="shared" si="11"/>
        <v>896</v>
      </c>
      <c r="J188" s="111"/>
      <c r="K188" s="111"/>
      <c r="L188" s="111"/>
      <c r="Q188"/>
      <c r="R188"/>
    </row>
    <row r="189" spans="1:18" ht="15.75" customHeight="1">
      <c r="A189" s="26">
        <v>45880</v>
      </c>
      <c r="B189" s="27" t="s">
        <v>23</v>
      </c>
      <c r="C189" s="28">
        <v>938</v>
      </c>
      <c r="D189" s="28">
        <v>236</v>
      </c>
      <c r="E189" s="28">
        <v>116472</v>
      </c>
      <c r="F189" s="29">
        <v>8.7200000000000006</v>
      </c>
      <c r="G189" s="28">
        <v>17460</v>
      </c>
      <c r="H189" s="131">
        <f t="shared" si="10"/>
        <v>6.0271996703070265E-3</v>
      </c>
      <c r="I189" s="111">
        <f t="shared" si="11"/>
        <v>702</v>
      </c>
      <c r="J189" s="111"/>
      <c r="K189" s="111"/>
      <c r="L189" s="111"/>
      <c r="Q189"/>
      <c r="R189"/>
    </row>
    <row r="190" spans="1:18" ht="15.75" customHeight="1">
      <c r="A190" s="26">
        <v>45880</v>
      </c>
      <c r="B190" s="27" t="s">
        <v>28</v>
      </c>
      <c r="C190" s="28">
        <v>1007</v>
      </c>
      <c r="D190" s="28">
        <v>258</v>
      </c>
      <c r="E190" s="28">
        <v>113412</v>
      </c>
      <c r="F190" s="29">
        <v>7.71</v>
      </c>
      <c r="G190" s="28">
        <v>14475</v>
      </c>
      <c r="H190" s="131">
        <f t="shared" si="10"/>
        <v>6.6042394102916796E-3</v>
      </c>
      <c r="I190" s="111">
        <f t="shared" si="11"/>
        <v>749</v>
      </c>
      <c r="J190" s="111"/>
      <c r="K190" s="111"/>
      <c r="L190" s="111"/>
      <c r="Q190"/>
      <c r="R190"/>
    </row>
    <row r="191" spans="1:18" ht="15.75" customHeight="1">
      <c r="A191" s="26">
        <v>45887</v>
      </c>
      <c r="B191" s="27" t="s">
        <v>14</v>
      </c>
      <c r="C191" s="28">
        <v>541</v>
      </c>
      <c r="D191" s="28">
        <v>208</v>
      </c>
      <c r="E191" s="28">
        <v>157547</v>
      </c>
      <c r="F191" s="29">
        <v>8.35</v>
      </c>
      <c r="G191" s="28">
        <v>20162</v>
      </c>
      <c r="H191" s="131">
        <f t="shared" si="10"/>
        <v>2.1136549728017671E-3</v>
      </c>
      <c r="I191" s="111">
        <f t="shared" si="11"/>
        <v>333</v>
      </c>
      <c r="J191" s="111"/>
      <c r="K191" s="111"/>
      <c r="L191" s="111"/>
      <c r="Q191"/>
      <c r="R191"/>
    </row>
    <row r="192" spans="1:18" ht="15.75" customHeight="1">
      <c r="A192" s="26">
        <v>45887</v>
      </c>
      <c r="B192" s="27" t="s">
        <v>23</v>
      </c>
      <c r="C192" s="28">
        <v>745</v>
      </c>
      <c r="D192" s="28">
        <v>98</v>
      </c>
      <c r="E192" s="28">
        <v>354816</v>
      </c>
      <c r="F192" s="29">
        <v>4.03</v>
      </c>
      <c r="G192" s="28">
        <v>17103</v>
      </c>
      <c r="H192" s="131">
        <f t="shared" si="10"/>
        <v>1.823480339105339E-3</v>
      </c>
      <c r="I192" s="111">
        <f t="shared" si="11"/>
        <v>647</v>
      </c>
      <c r="J192" s="111"/>
      <c r="K192" s="111"/>
      <c r="L192" s="111"/>
      <c r="Q192"/>
      <c r="R192"/>
    </row>
    <row r="193" spans="1:18" ht="15.75" customHeight="1">
      <c r="A193" s="26">
        <v>45887</v>
      </c>
      <c r="B193" s="27" t="s">
        <v>28</v>
      </c>
      <c r="C193" s="28">
        <v>936</v>
      </c>
      <c r="D193" s="28">
        <v>97</v>
      </c>
      <c r="E193" s="28">
        <v>151799</v>
      </c>
      <c r="F193" s="29">
        <v>9.3699999999999992</v>
      </c>
      <c r="G193" s="28">
        <v>15461</v>
      </c>
      <c r="H193" s="131">
        <f t="shared" si="10"/>
        <v>5.5270456327116777E-3</v>
      </c>
      <c r="I193" s="111">
        <f t="shared" si="11"/>
        <v>839</v>
      </c>
      <c r="J193" s="111"/>
      <c r="K193" s="111"/>
      <c r="L193" s="111"/>
      <c r="Q193"/>
      <c r="R193"/>
    </row>
    <row r="194" spans="1:18" ht="15.75" customHeight="1">
      <c r="A194" s="26">
        <v>45894</v>
      </c>
      <c r="B194" s="27" t="s">
        <v>14</v>
      </c>
      <c r="C194" s="28">
        <v>1183</v>
      </c>
      <c r="D194" s="28">
        <v>223</v>
      </c>
      <c r="E194" s="28">
        <v>143811</v>
      </c>
      <c r="F194" s="29">
        <v>6.07</v>
      </c>
      <c r="G194" s="28">
        <v>22103</v>
      </c>
      <c r="H194" s="131">
        <f t="shared" ref="H194:H201" si="12">(C194-D194)/E194</f>
        <v>6.6754281661347186E-3</v>
      </c>
      <c r="I194" s="111">
        <f t="shared" ref="I194:I201" si="13">C194-D194</f>
        <v>960</v>
      </c>
      <c r="J194" s="111"/>
      <c r="K194" s="111"/>
      <c r="L194" s="111"/>
      <c r="Q194"/>
      <c r="R194"/>
    </row>
    <row r="195" spans="1:18" ht="15.75" customHeight="1">
      <c r="A195" s="26">
        <v>45894</v>
      </c>
      <c r="B195" s="27" t="s">
        <v>23</v>
      </c>
      <c r="C195" s="28">
        <v>1413</v>
      </c>
      <c r="D195" s="28">
        <v>245</v>
      </c>
      <c r="E195" s="28">
        <v>296450</v>
      </c>
      <c r="F195" s="29">
        <v>6.52</v>
      </c>
      <c r="G195" s="28">
        <v>11625</v>
      </c>
      <c r="H195" s="131">
        <f t="shared" si="12"/>
        <v>3.9399561477483558E-3</v>
      </c>
      <c r="I195" s="111">
        <f t="shared" si="13"/>
        <v>1168</v>
      </c>
      <c r="J195" s="111"/>
      <c r="K195" s="111"/>
      <c r="L195" s="111"/>
      <c r="Q195"/>
      <c r="R195"/>
    </row>
    <row r="196" spans="1:18" ht="15.75" customHeight="1">
      <c r="A196" s="26">
        <v>45894</v>
      </c>
      <c r="B196" s="27" t="s">
        <v>28</v>
      </c>
      <c r="C196" s="28">
        <v>791</v>
      </c>
      <c r="D196" s="28">
        <v>273</v>
      </c>
      <c r="E196" s="28">
        <v>144049</v>
      </c>
      <c r="F196" s="29">
        <v>3.08</v>
      </c>
      <c r="G196" s="28">
        <v>5281</v>
      </c>
      <c r="H196" s="131">
        <f t="shared" si="12"/>
        <v>3.5959985838152297E-3</v>
      </c>
      <c r="I196" s="111">
        <f t="shared" si="13"/>
        <v>518</v>
      </c>
      <c r="J196" s="111"/>
      <c r="K196" s="111"/>
      <c r="L196" s="111"/>
      <c r="Q196"/>
      <c r="R196"/>
    </row>
    <row r="197" spans="1:18" ht="15.75" customHeight="1">
      <c r="A197" s="26">
        <v>45901</v>
      </c>
      <c r="B197" s="27" t="s">
        <v>14</v>
      </c>
      <c r="C197" s="28">
        <v>1052</v>
      </c>
      <c r="D197" s="28">
        <v>180</v>
      </c>
      <c r="E197" s="28">
        <v>272534</v>
      </c>
      <c r="F197" s="29">
        <v>5.34</v>
      </c>
      <c r="G197" s="28">
        <v>13424</v>
      </c>
      <c r="H197" s="131">
        <f t="shared" si="12"/>
        <v>3.1996007837554212E-3</v>
      </c>
      <c r="I197" s="111">
        <f t="shared" si="13"/>
        <v>872</v>
      </c>
      <c r="J197" s="111"/>
      <c r="K197" s="111"/>
      <c r="L197" s="111"/>
      <c r="Q197"/>
      <c r="R197"/>
    </row>
    <row r="198" spans="1:18" ht="15.75" customHeight="1">
      <c r="A198" s="26">
        <v>45901</v>
      </c>
      <c r="B198" s="27" t="s">
        <v>23</v>
      </c>
      <c r="C198" s="28">
        <v>572</v>
      </c>
      <c r="D198" s="28">
        <v>270</v>
      </c>
      <c r="E198" s="28">
        <v>82265</v>
      </c>
      <c r="F198" s="29">
        <v>3.65</v>
      </c>
      <c r="G198" s="28">
        <v>13140</v>
      </c>
      <c r="H198" s="131">
        <f t="shared" si="12"/>
        <v>3.6710630280192063E-3</v>
      </c>
      <c r="I198" s="111">
        <f t="shared" si="13"/>
        <v>302</v>
      </c>
      <c r="J198" s="111"/>
      <c r="K198" s="111"/>
      <c r="L198" s="111"/>
      <c r="Q198"/>
      <c r="R198"/>
    </row>
    <row r="199" spans="1:18" ht="15.75" customHeight="1">
      <c r="A199" s="26">
        <v>45901</v>
      </c>
      <c r="B199" s="27" t="s">
        <v>28</v>
      </c>
      <c r="C199" s="28">
        <v>503</v>
      </c>
      <c r="D199" s="28">
        <v>253</v>
      </c>
      <c r="E199" s="28">
        <v>313562</v>
      </c>
      <c r="F199" s="29">
        <v>4.18</v>
      </c>
      <c r="G199" s="28">
        <v>19538</v>
      </c>
      <c r="H199" s="131">
        <f t="shared" si="12"/>
        <v>7.9729048800556194E-4</v>
      </c>
      <c r="I199" s="111">
        <f t="shared" si="13"/>
        <v>250</v>
      </c>
      <c r="J199" s="111"/>
      <c r="K199" s="111"/>
      <c r="L199" s="111"/>
      <c r="Q199"/>
      <c r="R199"/>
    </row>
    <row r="200" spans="1:18" ht="15.75" customHeight="1">
      <c r="A200" s="26">
        <v>45908</v>
      </c>
      <c r="B200" s="27" t="s">
        <v>14</v>
      </c>
      <c r="C200" s="28">
        <v>1017</v>
      </c>
      <c r="D200" s="28">
        <v>197</v>
      </c>
      <c r="E200" s="28">
        <v>89918</v>
      </c>
      <c r="F200" s="29">
        <v>3.91</v>
      </c>
      <c r="G200" s="28">
        <v>7881</v>
      </c>
      <c r="H200" s="131">
        <f t="shared" si="12"/>
        <v>9.1194199159233963E-3</v>
      </c>
      <c r="I200" s="111">
        <f t="shared" si="13"/>
        <v>820</v>
      </c>
      <c r="J200" s="111"/>
      <c r="K200" s="111"/>
      <c r="L200" s="111"/>
      <c r="Q200"/>
      <c r="R200"/>
    </row>
    <row r="201" spans="1:18" ht="15.75" customHeight="1">
      <c r="A201" s="26">
        <v>45908</v>
      </c>
      <c r="B201" s="27" t="s">
        <v>23</v>
      </c>
      <c r="C201" s="28">
        <v>860</v>
      </c>
      <c r="D201" s="28">
        <v>244</v>
      </c>
      <c r="E201" s="28">
        <v>348686</v>
      </c>
      <c r="F201" s="29">
        <v>5.12</v>
      </c>
      <c r="G201" s="28">
        <v>11418</v>
      </c>
      <c r="H201" s="131">
        <f t="shared" si="12"/>
        <v>1.7666324429429343E-3</v>
      </c>
      <c r="I201" s="111">
        <f t="shared" si="13"/>
        <v>616</v>
      </c>
      <c r="J201" s="111"/>
      <c r="K201" s="111"/>
      <c r="L201" s="111"/>
      <c r="Q201"/>
      <c r="R201"/>
    </row>
    <row r="202" spans="1:18" ht="15.75" customHeight="1">
      <c r="J202" s="57"/>
      <c r="K202" s="57"/>
      <c r="Q202"/>
      <c r="R202"/>
    </row>
    <row r="203" spans="1:18" ht="15.75" customHeight="1">
      <c r="J203" s="57"/>
      <c r="K203" s="57"/>
      <c r="Q203"/>
      <c r="R203"/>
    </row>
    <row r="204" spans="1:18" ht="15.75" customHeight="1">
      <c r="J204" s="57"/>
      <c r="K204" s="57"/>
      <c r="Q204"/>
      <c r="R204"/>
    </row>
    <row r="205" spans="1:18" ht="15.75" customHeight="1">
      <c r="J205" s="57"/>
      <c r="K205" s="57"/>
      <c r="Q205"/>
      <c r="R205"/>
    </row>
    <row r="206" spans="1:18" ht="15.75" customHeight="1">
      <c r="J206" s="57"/>
      <c r="K206" s="57"/>
      <c r="Q206"/>
      <c r="R206"/>
    </row>
    <row r="207" spans="1:18" ht="15.75" customHeight="1">
      <c r="J207" s="57"/>
      <c r="K207" s="57"/>
      <c r="Q207"/>
      <c r="R207"/>
    </row>
    <row r="208" spans="1:18" ht="15.75" customHeight="1">
      <c r="J208" s="57"/>
      <c r="K208" s="57"/>
      <c r="Q208"/>
      <c r="R208"/>
    </row>
    <row r="209" spans="10:18" ht="15.75" customHeight="1">
      <c r="J209" s="57"/>
      <c r="K209" s="57"/>
      <c r="Q209"/>
      <c r="R209"/>
    </row>
    <row r="210" spans="10:18" ht="15.75" customHeight="1">
      <c r="J210" s="57"/>
      <c r="K210" s="57"/>
      <c r="Q210"/>
      <c r="R210"/>
    </row>
    <row r="211" spans="10:18" ht="15.75" customHeight="1">
      <c r="J211" s="57"/>
      <c r="K211" s="57"/>
      <c r="Q211"/>
      <c r="R211"/>
    </row>
    <row r="212" spans="10:18" ht="15.75" customHeight="1">
      <c r="J212" s="57"/>
      <c r="K212" s="57"/>
      <c r="Q212"/>
      <c r="R212"/>
    </row>
    <row r="213" spans="10:18" ht="15.75" customHeight="1">
      <c r="J213" s="57"/>
      <c r="K213" s="57"/>
      <c r="Q213"/>
      <c r="R213"/>
    </row>
    <row r="214" spans="10:18" ht="15.75" customHeight="1">
      <c r="J214" s="57"/>
      <c r="K214" s="57"/>
      <c r="Q214"/>
      <c r="R214"/>
    </row>
    <row r="215" spans="10:18" ht="15.75" customHeight="1">
      <c r="J215" s="57"/>
      <c r="K215" s="57"/>
    </row>
    <row r="216" spans="10:18" ht="15.75" customHeight="1">
      <c r="J216" s="57"/>
      <c r="K216" s="57"/>
    </row>
    <row r="217" spans="10:18" ht="15.75" customHeight="1">
      <c r="J217" s="57"/>
      <c r="K217" s="57"/>
    </row>
    <row r="218" spans="10:18" ht="15.75" customHeight="1">
      <c r="J218" s="57"/>
      <c r="K218" s="57"/>
    </row>
    <row r="219" spans="10:18" ht="15.75" customHeight="1">
      <c r="J219" s="57"/>
      <c r="K219" s="57"/>
    </row>
    <row r="220" spans="10:18" ht="15.75" customHeight="1">
      <c r="J220" s="57"/>
      <c r="K220" s="57"/>
    </row>
    <row r="221" spans="10:18" ht="15.75" customHeight="1">
      <c r="J221" s="57"/>
      <c r="K221" s="57"/>
    </row>
    <row r="222" spans="10:18" ht="15.75" customHeight="1">
      <c r="J222" s="57"/>
      <c r="K222" s="57"/>
    </row>
    <row r="223" spans="10:18" ht="15.75" customHeight="1">
      <c r="J223" s="57"/>
      <c r="K223" s="57"/>
    </row>
    <row r="224" spans="10:18" ht="15.75" customHeight="1">
      <c r="J224" s="57"/>
      <c r="K224" s="57"/>
    </row>
    <row r="225" spans="10:11" ht="15.75" customHeight="1">
      <c r="J225" s="57"/>
      <c r="K225" s="57"/>
    </row>
    <row r="226" spans="10:11" ht="15.75" customHeight="1">
      <c r="J226" s="57"/>
      <c r="K226" s="57"/>
    </row>
    <row r="227" spans="10:11" ht="15.75" customHeight="1">
      <c r="J227" s="57"/>
      <c r="K227" s="57"/>
    </row>
    <row r="228" spans="10:11" ht="15.75" customHeight="1">
      <c r="J228" s="57"/>
      <c r="K228" s="57"/>
    </row>
    <row r="229" spans="10:11" ht="15.75" customHeight="1">
      <c r="J229" s="57"/>
      <c r="K229" s="57"/>
    </row>
    <row r="230" spans="10:11" ht="15.75" customHeight="1">
      <c r="J230" s="57"/>
      <c r="K230" s="57"/>
    </row>
    <row r="231" spans="10:11" ht="15.75" customHeight="1">
      <c r="J231" s="57"/>
      <c r="K231" s="57"/>
    </row>
    <row r="232" spans="10:11" ht="15.75" customHeight="1">
      <c r="J232" s="57"/>
      <c r="K232" s="57"/>
    </row>
    <row r="233" spans="10:11" ht="15.75" customHeight="1">
      <c r="J233" s="57"/>
      <c r="K233" s="57"/>
    </row>
    <row r="234" spans="10:11" ht="15.75" customHeight="1">
      <c r="J234" s="57"/>
      <c r="K234" s="57"/>
    </row>
    <row r="235" spans="10:11" ht="15.75" customHeight="1">
      <c r="J235" s="57"/>
      <c r="K235" s="57"/>
    </row>
    <row r="236" spans="10:11" ht="15.75" customHeight="1">
      <c r="J236" s="57"/>
      <c r="K236" s="57"/>
    </row>
    <row r="237" spans="10:11" ht="15.75" customHeight="1">
      <c r="J237" s="57"/>
      <c r="K237" s="57"/>
    </row>
    <row r="238" spans="10:11" ht="15.75" customHeight="1">
      <c r="J238" s="57"/>
      <c r="K238" s="57"/>
    </row>
    <row r="239" spans="10:11" ht="15.75" customHeight="1">
      <c r="J239" s="57"/>
      <c r="K239" s="57"/>
    </row>
    <row r="240" spans="10:11" ht="15.75" customHeight="1">
      <c r="J240" s="57"/>
      <c r="K240" s="57"/>
    </row>
    <row r="241" spans="10:11" ht="15.75" customHeight="1">
      <c r="J241" s="57"/>
      <c r="K241" s="57"/>
    </row>
    <row r="242" spans="10:11" ht="15.75" customHeight="1">
      <c r="J242" s="57"/>
      <c r="K242" s="57"/>
    </row>
    <row r="243" spans="10:11" ht="15.75" customHeight="1">
      <c r="J243" s="57"/>
      <c r="K243" s="57"/>
    </row>
    <row r="244" spans="10:11" ht="15.75" customHeight="1">
      <c r="J244" s="57"/>
      <c r="K244" s="57"/>
    </row>
    <row r="245" spans="10:11" ht="15.75" customHeight="1">
      <c r="J245" s="57"/>
      <c r="K245" s="57"/>
    </row>
    <row r="246" spans="10:11" ht="15.75" customHeight="1">
      <c r="J246" s="57"/>
      <c r="K246" s="57"/>
    </row>
    <row r="247" spans="10:11" ht="15.75" customHeight="1">
      <c r="J247" s="57"/>
      <c r="K247" s="57"/>
    </row>
    <row r="248" spans="10:11" ht="15.75" customHeight="1">
      <c r="J248" s="57"/>
      <c r="K248" s="57"/>
    </row>
    <row r="249" spans="10:11" ht="15.75" customHeight="1">
      <c r="J249" s="57"/>
      <c r="K249" s="57"/>
    </row>
    <row r="250" spans="10:11" ht="15.75" customHeight="1">
      <c r="J250" s="57"/>
      <c r="K250" s="57"/>
    </row>
    <row r="251" spans="10:11" ht="15.75" customHeight="1">
      <c r="J251" s="57"/>
      <c r="K251" s="57"/>
    </row>
    <row r="252" spans="10:11" ht="15.75" customHeight="1">
      <c r="J252" s="57"/>
      <c r="K252" s="57"/>
    </row>
    <row r="253" spans="10:11" ht="15.75" customHeight="1">
      <c r="J253" s="57"/>
      <c r="K253" s="57"/>
    </row>
    <row r="254" spans="10:11" ht="15.75" customHeight="1">
      <c r="J254" s="57"/>
      <c r="K254" s="57"/>
    </row>
    <row r="255" spans="10:11" ht="15.75" customHeight="1">
      <c r="J255" s="57"/>
      <c r="K255" s="57"/>
    </row>
    <row r="256" spans="10:11" ht="15.75" customHeight="1">
      <c r="J256" s="57"/>
      <c r="K256" s="57"/>
    </row>
    <row r="257" spans="10:11" ht="15.75" customHeight="1">
      <c r="J257" s="57"/>
      <c r="K257" s="57"/>
    </row>
    <row r="258" spans="10:11" ht="15.75" customHeight="1">
      <c r="J258" s="57"/>
      <c r="K258" s="57"/>
    </row>
    <row r="259" spans="10:11" ht="15.75" customHeight="1">
      <c r="J259" s="57"/>
      <c r="K259" s="57"/>
    </row>
    <row r="260" spans="10:11" ht="15.75" customHeight="1">
      <c r="J260" s="57"/>
      <c r="K260" s="57"/>
    </row>
    <row r="261" spans="10:11" ht="15.75" customHeight="1">
      <c r="J261" s="57"/>
      <c r="K261" s="57"/>
    </row>
    <row r="262" spans="10:11" ht="15.75" customHeight="1">
      <c r="J262" s="57"/>
      <c r="K262" s="57"/>
    </row>
    <row r="263" spans="10:11" ht="15.75" customHeight="1">
      <c r="J263" s="57"/>
      <c r="K263" s="57"/>
    </row>
    <row r="264" spans="10:11" ht="15.75" customHeight="1">
      <c r="J264" s="57"/>
      <c r="K264" s="57"/>
    </row>
    <row r="265" spans="10:11" ht="15.75" customHeight="1">
      <c r="J265" s="57"/>
      <c r="K265" s="57"/>
    </row>
    <row r="266" spans="10:11" ht="15.75" customHeight="1">
      <c r="J266" s="57"/>
      <c r="K266" s="57"/>
    </row>
    <row r="267" spans="10:11" ht="15.75" customHeight="1">
      <c r="J267" s="57"/>
      <c r="K267" s="57"/>
    </row>
    <row r="268" spans="10:11" ht="15.75" customHeight="1">
      <c r="J268" s="57"/>
      <c r="K268" s="57"/>
    </row>
    <row r="269" spans="10:11" ht="15.75" customHeight="1">
      <c r="J269" s="57"/>
      <c r="K269" s="57"/>
    </row>
    <row r="270" spans="10:11" ht="15.75" customHeight="1">
      <c r="J270" s="57"/>
      <c r="K270" s="57"/>
    </row>
    <row r="271" spans="10:11" ht="15.75" customHeight="1">
      <c r="J271" s="57"/>
      <c r="K271" s="57"/>
    </row>
    <row r="272" spans="10:11" ht="15.75" customHeight="1">
      <c r="J272" s="57"/>
      <c r="K272" s="57"/>
    </row>
    <row r="273" spans="10:11" ht="15.75" customHeight="1">
      <c r="J273" s="57"/>
      <c r="K273" s="57"/>
    </row>
    <row r="274" spans="10:11" ht="15.75" customHeight="1">
      <c r="J274" s="57"/>
      <c r="K274" s="57"/>
    </row>
    <row r="275" spans="10:11" ht="15.75" customHeight="1">
      <c r="J275" s="57"/>
      <c r="K275" s="57"/>
    </row>
    <row r="276" spans="10:11" ht="15.75" customHeight="1">
      <c r="J276" s="57"/>
      <c r="K276" s="57"/>
    </row>
    <row r="277" spans="10:11" ht="15.75" customHeight="1">
      <c r="J277" s="57"/>
      <c r="K277" s="57"/>
    </row>
    <row r="278" spans="10:11" ht="15.75" customHeight="1">
      <c r="J278" s="57"/>
      <c r="K278" s="57"/>
    </row>
    <row r="279" spans="10:11" ht="15.75" customHeight="1">
      <c r="J279" s="57"/>
      <c r="K279" s="57"/>
    </row>
    <row r="280" spans="10:11" ht="15.75" customHeight="1">
      <c r="J280" s="57"/>
      <c r="K280" s="57"/>
    </row>
    <row r="281" spans="10:11" ht="15.75" customHeight="1">
      <c r="J281" s="57"/>
      <c r="K281" s="57"/>
    </row>
    <row r="282" spans="10:11" ht="15.75" customHeight="1">
      <c r="J282" s="57"/>
      <c r="K282" s="57"/>
    </row>
    <row r="283" spans="10:11" ht="15.75" customHeight="1">
      <c r="J283" s="57"/>
      <c r="K283" s="57"/>
    </row>
    <row r="284" spans="10:11" ht="15.75" customHeight="1">
      <c r="J284" s="57"/>
      <c r="K284" s="57"/>
    </row>
    <row r="285" spans="10:11" ht="15.75" customHeight="1">
      <c r="J285" s="57"/>
      <c r="K285" s="57"/>
    </row>
    <row r="286" spans="10:11" ht="15.75" customHeight="1">
      <c r="J286" s="57"/>
      <c r="K286" s="57"/>
    </row>
    <row r="287" spans="10:11" ht="15.75" customHeight="1">
      <c r="J287" s="57"/>
      <c r="K287" s="57"/>
    </row>
    <row r="288" spans="10:11" ht="15.75" customHeight="1">
      <c r="J288" s="57"/>
      <c r="K288" s="57"/>
    </row>
    <row r="289" spans="10:11" ht="15.75" customHeight="1">
      <c r="J289" s="57"/>
      <c r="K289" s="57"/>
    </row>
    <row r="290" spans="10:11" ht="15.75" customHeight="1">
      <c r="J290" s="57"/>
      <c r="K290" s="57"/>
    </row>
    <row r="291" spans="10:11" ht="15.75" customHeight="1">
      <c r="J291" s="57"/>
      <c r="K291" s="57"/>
    </row>
    <row r="292" spans="10:11" ht="15.75" customHeight="1">
      <c r="J292" s="57"/>
      <c r="K292" s="57"/>
    </row>
    <row r="293" spans="10:11" ht="15.75" customHeight="1">
      <c r="J293" s="57"/>
      <c r="K293" s="57"/>
    </row>
    <row r="294" spans="10:11" ht="15.75" customHeight="1">
      <c r="J294" s="57"/>
      <c r="K294" s="57"/>
    </row>
    <row r="295" spans="10:11" ht="15.75" customHeight="1">
      <c r="J295" s="57"/>
      <c r="K295" s="57"/>
    </row>
    <row r="296" spans="10:11" ht="15.75" customHeight="1">
      <c r="J296" s="57"/>
      <c r="K296" s="57"/>
    </row>
    <row r="297" spans="10:11" ht="15.75" customHeight="1">
      <c r="J297" s="57"/>
      <c r="K297" s="57"/>
    </row>
    <row r="298" spans="10:11" ht="15.75" customHeight="1">
      <c r="J298" s="57"/>
      <c r="K298" s="57"/>
    </row>
    <row r="299" spans="10:11" ht="15.75" customHeight="1">
      <c r="J299" s="57"/>
      <c r="K299" s="57"/>
    </row>
    <row r="300" spans="10:11" ht="15.75" customHeight="1">
      <c r="J300" s="57"/>
      <c r="K300" s="57"/>
    </row>
    <row r="301" spans="10:11" ht="15.75" customHeight="1">
      <c r="J301" s="57"/>
      <c r="K301" s="57"/>
    </row>
    <row r="302" spans="10:11" ht="15.75" customHeight="1">
      <c r="J302" s="57"/>
      <c r="K302" s="57"/>
    </row>
    <row r="303" spans="10:11" ht="15.75" customHeight="1">
      <c r="J303" s="57"/>
      <c r="K303" s="57"/>
    </row>
    <row r="304" spans="10:11" ht="15.75" customHeight="1">
      <c r="J304" s="57"/>
      <c r="K304" s="57"/>
    </row>
    <row r="305" spans="10:11" ht="15.75" customHeight="1">
      <c r="J305" s="57"/>
      <c r="K305" s="57"/>
    </row>
    <row r="306" spans="10:11" ht="15.75" customHeight="1">
      <c r="J306" s="57"/>
      <c r="K306" s="57"/>
    </row>
    <row r="307" spans="10:11" ht="15.75" customHeight="1">
      <c r="J307" s="57"/>
      <c r="K307" s="57"/>
    </row>
    <row r="308" spans="10:11" ht="15.75" customHeight="1">
      <c r="J308" s="57"/>
      <c r="K308" s="57"/>
    </row>
    <row r="309" spans="10:11" ht="15.75" customHeight="1">
      <c r="J309" s="57"/>
      <c r="K309" s="57"/>
    </row>
    <row r="310" spans="10:11" ht="15.75" customHeight="1">
      <c r="J310" s="57"/>
      <c r="K310" s="57"/>
    </row>
    <row r="311" spans="10:11" ht="15.75" customHeight="1">
      <c r="J311" s="57"/>
      <c r="K311" s="57"/>
    </row>
    <row r="312" spans="10:11" ht="15.75" customHeight="1">
      <c r="J312" s="57"/>
      <c r="K312" s="57"/>
    </row>
    <row r="313" spans="10:11" ht="15.75" customHeight="1">
      <c r="J313" s="57"/>
      <c r="K313" s="57"/>
    </row>
    <row r="314" spans="10:11" ht="15.75" customHeight="1">
      <c r="J314" s="57"/>
      <c r="K314" s="57"/>
    </row>
    <row r="315" spans="10:11" ht="15.75" customHeight="1">
      <c r="J315" s="57"/>
      <c r="K315" s="57"/>
    </row>
    <row r="316" spans="10:11" ht="15.75" customHeight="1">
      <c r="J316" s="57"/>
      <c r="K316" s="57"/>
    </row>
    <row r="317" spans="10:11" ht="15.75" customHeight="1">
      <c r="J317" s="57"/>
      <c r="K317" s="57"/>
    </row>
    <row r="318" spans="10:11" ht="15.75" customHeight="1">
      <c r="J318" s="57"/>
      <c r="K318" s="57"/>
    </row>
    <row r="319" spans="10:11" ht="15.75" customHeight="1">
      <c r="J319" s="57"/>
      <c r="K319" s="57"/>
    </row>
    <row r="320" spans="10:11" ht="15.75" customHeight="1">
      <c r="J320" s="57"/>
      <c r="K320" s="57"/>
    </row>
    <row r="321" spans="10:11" ht="15.75" customHeight="1">
      <c r="J321" s="57"/>
      <c r="K321" s="57"/>
    </row>
    <row r="322" spans="10:11" ht="15.75" customHeight="1">
      <c r="J322" s="57"/>
      <c r="K322" s="57"/>
    </row>
    <row r="323" spans="10:11" ht="15.75" customHeight="1">
      <c r="J323" s="57"/>
      <c r="K323" s="57"/>
    </row>
    <row r="324" spans="10:11" ht="15.75" customHeight="1">
      <c r="J324" s="57"/>
      <c r="K324" s="57"/>
    </row>
    <row r="325" spans="10:11" ht="15.75" customHeight="1">
      <c r="J325" s="57"/>
      <c r="K325" s="57"/>
    </row>
    <row r="326" spans="10:11" ht="15.75" customHeight="1">
      <c r="J326" s="57"/>
      <c r="K326" s="57"/>
    </row>
    <row r="327" spans="10:11" ht="15.75" customHeight="1">
      <c r="J327" s="57"/>
      <c r="K327" s="57"/>
    </row>
    <row r="328" spans="10:11" ht="15.75" customHeight="1">
      <c r="J328" s="57"/>
      <c r="K328" s="57"/>
    </row>
    <row r="329" spans="10:11" ht="15.75" customHeight="1">
      <c r="J329" s="57"/>
      <c r="K329" s="57"/>
    </row>
    <row r="330" spans="10:11" ht="15.75" customHeight="1">
      <c r="J330" s="57"/>
      <c r="K330" s="57"/>
    </row>
    <row r="331" spans="10:11" ht="15.75" customHeight="1">
      <c r="J331" s="57"/>
      <c r="K331" s="57"/>
    </row>
    <row r="332" spans="10:11" ht="15.75" customHeight="1">
      <c r="J332" s="57"/>
      <c r="K332" s="57"/>
    </row>
    <row r="333" spans="10:11" ht="15.75" customHeight="1">
      <c r="J333" s="57"/>
      <c r="K333" s="57"/>
    </row>
    <row r="334" spans="10:11" ht="15.75" customHeight="1">
      <c r="J334" s="57"/>
      <c r="K334" s="57"/>
    </row>
    <row r="335" spans="10:11" ht="15.75" customHeight="1">
      <c r="J335" s="57"/>
      <c r="K335" s="57"/>
    </row>
    <row r="336" spans="10:11" ht="15.75" customHeight="1">
      <c r="J336" s="57"/>
      <c r="K336" s="57"/>
    </row>
    <row r="337" spans="10:11" ht="15.75" customHeight="1">
      <c r="J337" s="57"/>
      <c r="K337" s="57"/>
    </row>
    <row r="338" spans="10:11" ht="15.75" customHeight="1">
      <c r="J338" s="57"/>
      <c r="K338" s="57"/>
    </row>
    <row r="339" spans="10:11" ht="15.75" customHeight="1">
      <c r="J339" s="57"/>
      <c r="K339" s="57"/>
    </row>
    <row r="340" spans="10:11" ht="15.75" customHeight="1">
      <c r="J340" s="57"/>
      <c r="K340" s="57"/>
    </row>
    <row r="341" spans="10:11" ht="15.75" customHeight="1">
      <c r="J341" s="57"/>
      <c r="K341" s="57"/>
    </row>
    <row r="342" spans="10:11" ht="15.75" customHeight="1">
      <c r="J342" s="57"/>
      <c r="K342" s="57"/>
    </row>
    <row r="343" spans="10:11" ht="15.75" customHeight="1">
      <c r="J343" s="57"/>
      <c r="K343" s="57"/>
    </row>
    <row r="344" spans="10:11" ht="15.75" customHeight="1">
      <c r="J344" s="57"/>
      <c r="K344" s="57"/>
    </row>
    <row r="345" spans="10:11" ht="15.75" customHeight="1">
      <c r="J345" s="57"/>
      <c r="K345" s="57"/>
    </row>
    <row r="346" spans="10:11" ht="15.75" customHeight="1">
      <c r="J346" s="57"/>
      <c r="K346" s="57"/>
    </row>
    <row r="347" spans="10:11" ht="15.75" customHeight="1">
      <c r="J347" s="57"/>
      <c r="K347" s="57"/>
    </row>
    <row r="348" spans="10:11" ht="15.75" customHeight="1">
      <c r="J348" s="57"/>
      <c r="K348" s="57"/>
    </row>
    <row r="349" spans="10:11" ht="15.75" customHeight="1">
      <c r="J349" s="57"/>
      <c r="K349" s="57"/>
    </row>
    <row r="350" spans="10:11" ht="15.75" customHeight="1">
      <c r="J350" s="57"/>
      <c r="K350" s="57"/>
    </row>
    <row r="351" spans="10:11" ht="15.75" customHeight="1">
      <c r="J351" s="57"/>
      <c r="K351" s="57"/>
    </row>
    <row r="352" spans="10:11" ht="15.75" customHeight="1">
      <c r="J352" s="57"/>
      <c r="K352" s="57"/>
    </row>
    <row r="353" spans="10:11" ht="15.75" customHeight="1">
      <c r="J353" s="57"/>
      <c r="K353" s="57"/>
    </row>
    <row r="354" spans="10:11" ht="15.75" customHeight="1">
      <c r="J354" s="57"/>
      <c r="K354" s="57"/>
    </row>
    <row r="355" spans="10:11" ht="15.75" customHeight="1">
      <c r="J355" s="57"/>
      <c r="K355" s="57"/>
    </row>
    <row r="356" spans="10:11" ht="15.75" customHeight="1">
      <c r="J356" s="57"/>
      <c r="K356" s="57"/>
    </row>
    <row r="357" spans="10:11" ht="15.75" customHeight="1">
      <c r="J357" s="57"/>
      <c r="K357" s="57"/>
    </row>
    <row r="358" spans="10:11" ht="15.75" customHeight="1">
      <c r="J358" s="57"/>
      <c r="K358" s="57"/>
    </row>
    <row r="359" spans="10:11" ht="15.75" customHeight="1">
      <c r="J359" s="57"/>
      <c r="K359" s="57"/>
    </row>
    <row r="360" spans="10:11" ht="15.75" customHeight="1">
      <c r="J360" s="57"/>
      <c r="K360" s="57"/>
    </row>
    <row r="361" spans="10:11" ht="15.75" customHeight="1">
      <c r="J361" s="57"/>
      <c r="K361" s="57"/>
    </row>
    <row r="362" spans="10:11" ht="15.75" customHeight="1">
      <c r="J362" s="57"/>
      <c r="K362" s="57"/>
    </row>
    <row r="363" spans="10:11" ht="15.75" customHeight="1">
      <c r="J363" s="57"/>
      <c r="K363" s="57"/>
    </row>
    <row r="364" spans="10:11" ht="15.75" customHeight="1">
      <c r="J364" s="57"/>
      <c r="K364" s="57"/>
    </row>
    <row r="365" spans="10:11" ht="15.75" customHeight="1">
      <c r="J365" s="57"/>
      <c r="K365" s="57"/>
    </row>
    <row r="366" spans="10:11" ht="15.75" customHeight="1">
      <c r="J366" s="57"/>
      <c r="K366" s="57"/>
    </row>
    <row r="367" spans="10:11" ht="15.75" customHeight="1">
      <c r="J367" s="57"/>
      <c r="K367" s="57"/>
    </row>
    <row r="368" spans="10:11" ht="15.75" customHeight="1">
      <c r="J368" s="57"/>
      <c r="K368" s="57"/>
    </row>
    <row r="369" spans="10:11" ht="15.75" customHeight="1">
      <c r="J369" s="57"/>
      <c r="K369" s="57"/>
    </row>
    <row r="370" spans="10:11" ht="15.75" customHeight="1">
      <c r="J370" s="57"/>
      <c r="K370" s="57"/>
    </row>
    <row r="371" spans="10:11" ht="15.75" customHeight="1">
      <c r="J371" s="57"/>
      <c r="K371" s="57"/>
    </row>
    <row r="372" spans="10:11" ht="15.75" customHeight="1">
      <c r="J372" s="57"/>
      <c r="K372" s="57"/>
    </row>
    <row r="373" spans="10:11" ht="15.75" customHeight="1">
      <c r="J373" s="57"/>
      <c r="K373" s="57"/>
    </row>
    <row r="374" spans="10:11" ht="15.75" customHeight="1">
      <c r="J374" s="57"/>
      <c r="K374" s="57"/>
    </row>
    <row r="375" spans="10:11" ht="15.75" customHeight="1">
      <c r="J375" s="57"/>
      <c r="K375" s="57"/>
    </row>
    <row r="376" spans="10:11" ht="15.75" customHeight="1">
      <c r="J376" s="57"/>
      <c r="K376" s="57"/>
    </row>
    <row r="377" spans="10:11" ht="15.75" customHeight="1">
      <c r="J377" s="57"/>
      <c r="K377" s="57"/>
    </row>
    <row r="378" spans="10:11" ht="15.75" customHeight="1">
      <c r="J378" s="57"/>
      <c r="K378" s="57"/>
    </row>
    <row r="379" spans="10:11" ht="15.75" customHeight="1">
      <c r="J379" s="57"/>
      <c r="K379" s="57"/>
    </row>
    <row r="380" spans="10:11" ht="15.75" customHeight="1">
      <c r="J380" s="57"/>
      <c r="K380" s="57"/>
    </row>
    <row r="381" spans="10:11" ht="15.75" customHeight="1">
      <c r="J381" s="57"/>
      <c r="K381" s="57"/>
    </row>
    <row r="382" spans="10:11" ht="15.75" customHeight="1">
      <c r="J382" s="57"/>
      <c r="K382" s="57"/>
    </row>
    <row r="383" spans="10:11" ht="15.75" customHeight="1">
      <c r="J383" s="57"/>
      <c r="K383" s="57"/>
    </row>
    <row r="384" spans="10:11" ht="15.75" customHeight="1">
      <c r="J384" s="57"/>
      <c r="K384" s="57"/>
    </row>
    <row r="385" spans="10:11" ht="15.75" customHeight="1">
      <c r="J385" s="57"/>
      <c r="K385" s="57"/>
    </row>
    <row r="386" spans="10:11" ht="15.75" customHeight="1">
      <c r="J386" s="57"/>
      <c r="K386" s="57"/>
    </row>
    <row r="387" spans="10:11" ht="15.75" customHeight="1">
      <c r="J387" s="57"/>
      <c r="K387" s="57"/>
    </row>
    <row r="388" spans="10:11" ht="15.75" customHeight="1">
      <c r="J388" s="57"/>
      <c r="K388" s="57"/>
    </row>
    <row r="389" spans="10:11" ht="15.75" customHeight="1">
      <c r="J389" s="57"/>
      <c r="K389" s="57"/>
    </row>
    <row r="390" spans="10:11" ht="15.75" customHeight="1">
      <c r="J390" s="57"/>
      <c r="K390" s="57"/>
    </row>
    <row r="391" spans="10:11" ht="15.75" customHeight="1">
      <c r="J391" s="57"/>
      <c r="K391" s="57"/>
    </row>
    <row r="392" spans="10:11" ht="15.75" customHeight="1">
      <c r="J392" s="57"/>
      <c r="K392" s="57"/>
    </row>
    <row r="393" spans="10:11" ht="15.75" customHeight="1">
      <c r="J393" s="57"/>
      <c r="K393" s="57"/>
    </row>
    <row r="394" spans="10:11" ht="15.75" customHeight="1">
      <c r="J394" s="57"/>
      <c r="K394" s="57"/>
    </row>
    <row r="395" spans="10:11" ht="15.75" customHeight="1">
      <c r="J395" s="57"/>
      <c r="K395" s="57"/>
    </row>
    <row r="396" spans="10:11" ht="15.75" customHeight="1">
      <c r="J396" s="57"/>
      <c r="K396" s="57"/>
    </row>
    <row r="397" spans="10:11" ht="15.75" customHeight="1">
      <c r="J397" s="57"/>
      <c r="K397" s="57"/>
    </row>
    <row r="398" spans="10:11" ht="15.75" customHeight="1">
      <c r="J398" s="57"/>
      <c r="K398" s="57"/>
    </row>
    <row r="399" spans="10:11" ht="15.75" customHeight="1">
      <c r="J399" s="57"/>
      <c r="K399" s="57"/>
    </row>
    <row r="400" spans="10:11" ht="15.75" customHeight="1">
      <c r="J400" s="57"/>
      <c r="K400" s="57"/>
    </row>
    <row r="401" spans="10:11" ht="15.75" customHeight="1">
      <c r="J401" s="57"/>
      <c r="K401" s="57"/>
    </row>
    <row r="402" spans="10:11" ht="15.75" customHeight="1">
      <c r="J402" s="57"/>
      <c r="K402" s="57"/>
    </row>
    <row r="403" spans="10:11" ht="15.75" customHeight="1">
      <c r="J403" s="57"/>
      <c r="K403" s="57"/>
    </row>
    <row r="404" spans="10:11" ht="15.75" customHeight="1">
      <c r="J404" s="57"/>
      <c r="K404" s="57"/>
    </row>
    <row r="405" spans="10:11" ht="15.75" customHeight="1">
      <c r="J405" s="57"/>
      <c r="K405" s="57"/>
    </row>
    <row r="406" spans="10:11" ht="15.75" customHeight="1">
      <c r="J406" s="57"/>
      <c r="K406" s="57"/>
    </row>
    <row r="407" spans="10:11" ht="15.75" customHeight="1">
      <c r="J407" s="57"/>
      <c r="K407" s="57"/>
    </row>
    <row r="408" spans="10:11" ht="15.75" customHeight="1">
      <c r="J408" s="57"/>
      <c r="K408" s="57"/>
    </row>
    <row r="409" spans="10:11" ht="15.75" customHeight="1">
      <c r="J409" s="57"/>
      <c r="K409" s="57"/>
    </row>
    <row r="410" spans="10:11" ht="15.75" customHeight="1">
      <c r="J410" s="57"/>
      <c r="K410" s="57"/>
    </row>
    <row r="411" spans="10:11" ht="15.75" customHeight="1">
      <c r="J411" s="57"/>
      <c r="K411" s="57"/>
    </row>
    <row r="412" spans="10:11" ht="15.75" customHeight="1">
      <c r="J412" s="57"/>
      <c r="K412" s="57"/>
    </row>
    <row r="413" spans="10:11" ht="15.75" customHeight="1">
      <c r="J413" s="57"/>
      <c r="K413" s="57"/>
    </row>
    <row r="414" spans="10:11" ht="15.75" customHeight="1">
      <c r="J414" s="57"/>
      <c r="K414" s="57"/>
    </row>
    <row r="415" spans="10:11" ht="15.75" customHeight="1">
      <c r="J415" s="57"/>
      <c r="K415" s="57"/>
    </row>
    <row r="416" spans="10:11" ht="15.75" customHeight="1">
      <c r="J416" s="57"/>
      <c r="K416" s="57"/>
    </row>
    <row r="417" spans="10:11" ht="15.75" customHeight="1">
      <c r="J417" s="57"/>
      <c r="K417" s="57"/>
    </row>
    <row r="418" spans="10:11" ht="15.75" customHeight="1">
      <c r="J418" s="57"/>
      <c r="K418" s="57"/>
    </row>
    <row r="419" spans="10:11" ht="15.75" customHeight="1">
      <c r="J419" s="57"/>
      <c r="K419" s="57"/>
    </row>
    <row r="420" spans="10:11" ht="15.75" customHeight="1">
      <c r="J420" s="57"/>
      <c r="K420" s="57"/>
    </row>
    <row r="421" spans="10:11" ht="15.75" customHeight="1">
      <c r="J421" s="57"/>
      <c r="K421" s="57"/>
    </row>
    <row r="422" spans="10:11" ht="15.75" customHeight="1">
      <c r="J422" s="57"/>
      <c r="K422" s="57"/>
    </row>
    <row r="423" spans="10:11" ht="15.75" customHeight="1">
      <c r="J423" s="57"/>
      <c r="K423" s="57"/>
    </row>
    <row r="424" spans="10:11" ht="15.75" customHeight="1">
      <c r="J424" s="57"/>
      <c r="K424" s="57"/>
    </row>
    <row r="425" spans="10:11" ht="15.75" customHeight="1">
      <c r="J425" s="57"/>
      <c r="K425" s="57"/>
    </row>
    <row r="426" spans="10:11" ht="15.75" customHeight="1">
      <c r="J426" s="57"/>
      <c r="K426" s="57"/>
    </row>
    <row r="427" spans="10:11" ht="15.75" customHeight="1">
      <c r="J427" s="57"/>
      <c r="K427" s="57"/>
    </row>
    <row r="428" spans="10:11" ht="15.75" customHeight="1">
      <c r="J428" s="57"/>
      <c r="K428" s="57"/>
    </row>
    <row r="429" spans="10:11" ht="15.75" customHeight="1">
      <c r="J429" s="57"/>
      <c r="K429" s="57"/>
    </row>
    <row r="430" spans="10:11" ht="15.75" customHeight="1">
      <c r="J430" s="57"/>
      <c r="K430" s="57"/>
    </row>
    <row r="431" spans="10:11" ht="15.75" customHeight="1">
      <c r="J431" s="57"/>
      <c r="K431" s="57"/>
    </row>
    <row r="432" spans="10:11" ht="15.75" customHeight="1">
      <c r="J432" s="57"/>
      <c r="K432" s="57"/>
    </row>
    <row r="433" spans="10:11" ht="15.75" customHeight="1">
      <c r="J433" s="57"/>
      <c r="K433" s="57"/>
    </row>
    <row r="434" spans="10:11" ht="15.75" customHeight="1">
      <c r="J434" s="57"/>
      <c r="K434" s="57"/>
    </row>
    <row r="435" spans="10:11" ht="15.75" customHeight="1">
      <c r="J435" s="57"/>
      <c r="K435" s="57"/>
    </row>
    <row r="436" spans="10:11" ht="15.75" customHeight="1">
      <c r="J436" s="57"/>
      <c r="K436" s="57"/>
    </row>
    <row r="437" spans="10:11" ht="15.75" customHeight="1">
      <c r="J437" s="57"/>
      <c r="K437" s="57"/>
    </row>
    <row r="438" spans="10:11" ht="15.75" customHeight="1">
      <c r="J438" s="57"/>
      <c r="K438" s="57"/>
    </row>
    <row r="439" spans="10:11" ht="15.75" customHeight="1">
      <c r="J439" s="57"/>
      <c r="K439" s="57"/>
    </row>
    <row r="440" spans="10:11" ht="15.75" customHeight="1">
      <c r="J440" s="57"/>
      <c r="K440" s="57"/>
    </row>
    <row r="441" spans="10:11" ht="15.75" customHeight="1">
      <c r="J441" s="57"/>
      <c r="K441" s="57"/>
    </row>
    <row r="442" spans="10:11" ht="15.75" customHeight="1">
      <c r="J442" s="57"/>
      <c r="K442" s="57"/>
    </row>
    <row r="443" spans="10:11" ht="15.75" customHeight="1">
      <c r="J443" s="57"/>
      <c r="K443" s="57"/>
    </row>
    <row r="444" spans="10:11" ht="15.75" customHeight="1">
      <c r="J444" s="57"/>
      <c r="K444" s="57"/>
    </row>
    <row r="445" spans="10:11" ht="15.75" customHeight="1">
      <c r="J445" s="57"/>
      <c r="K445" s="57"/>
    </row>
    <row r="446" spans="10:11" ht="15.75" customHeight="1">
      <c r="J446" s="57"/>
      <c r="K446" s="57"/>
    </row>
    <row r="447" spans="10:11" ht="15.75" customHeight="1">
      <c r="J447" s="57"/>
      <c r="K447" s="57"/>
    </row>
    <row r="448" spans="10:11" ht="15.75" customHeight="1">
      <c r="J448" s="57"/>
      <c r="K448" s="57"/>
    </row>
    <row r="449" spans="10:11" ht="15.75" customHeight="1">
      <c r="J449" s="57"/>
      <c r="K449" s="57"/>
    </row>
    <row r="450" spans="10:11" ht="15.75" customHeight="1">
      <c r="J450" s="57"/>
      <c r="K450" s="57"/>
    </row>
    <row r="451" spans="10:11" ht="15.75" customHeight="1">
      <c r="J451" s="57"/>
      <c r="K451" s="57"/>
    </row>
    <row r="452" spans="10:11" ht="15.75" customHeight="1">
      <c r="J452" s="57"/>
      <c r="K452" s="57"/>
    </row>
    <row r="453" spans="10:11" ht="15.75" customHeight="1">
      <c r="J453" s="57"/>
      <c r="K453" s="57"/>
    </row>
    <row r="454" spans="10:11" ht="15.75" customHeight="1">
      <c r="J454" s="57"/>
      <c r="K454" s="57"/>
    </row>
    <row r="455" spans="10:11" ht="15.75" customHeight="1">
      <c r="J455" s="57"/>
      <c r="K455" s="57"/>
    </row>
    <row r="456" spans="10:11" ht="15.75" customHeight="1">
      <c r="J456" s="57"/>
      <c r="K456" s="57"/>
    </row>
    <row r="457" spans="10:11" ht="15.75" customHeight="1">
      <c r="J457" s="57"/>
      <c r="K457" s="57"/>
    </row>
    <row r="458" spans="10:11" ht="15.75" customHeight="1">
      <c r="J458" s="57"/>
      <c r="K458" s="57"/>
    </row>
    <row r="459" spans="10:11" ht="15.75" customHeight="1">
      <c r="J459" s="57"/>
      <c r="K459" s="57"/>
    </row>
    <row r="460" spans="10:11" ht="15.75" customHeight="1">
      <c r="J460" s="57"/>
      <c r="K460" s="57"/>
    </row>
    <row r="461" spans="10:11" ht="15.75" customHeight="1">
      <c r="J461" s="57"/>
      <c r="K461" s="57"/>
    </row>
    <row r="462" spans="10:11" ht="15.75" customHeight="1">
      <c r="J462" s="57"/>
      <c r="K462" s="57"/>
    </row>
    <row r="463" spans="10:11" ht="15.75" customHeight="1">
      <c r="J463" s="57"/>
      <c r="K463" s="57"/>
    </row>
    <row r="464" spans="10:11" ht="15.75" customHeight="1">
      <c r="J464" s="57"/>
      <c r="K464" s="57"/>
    </row>
    <row r="465" spans="10:11" ht="15.75" customHeight="1">
      <c r="J465" s="57"/>
      <c r="K465" s="57"/>
    </row>
    <row r="466" spans="10:11" ht="15.75" customHeight="1">
      <c r="J466" s="57"/>
      <c r="K466" s="57"/>
    </row>
    <row r="467" spans="10:11" ht="15.75" customHeight="1">
      <c r="J467" s="57"/>
      <c r="K467" s="57"/>
    </row>
    <row r="468" spans="10:11" ht="15.75" customHeight="1">
      <c r="J468" s="57"/>
      <c r="K468" s="57"/>
    </row>
    <row r="469" spans="10:11" ht="15.75" customHeight="1">
      <c r="J469" s="57"/>
      <c r="K469" s="57"/>
    </row>
    <row r="470" spans="10:11" ht="15.75" customHeight="1">
      <c r="J470" s="57"/>
      <c r="K470" s="57"/>
    </row>
    <row r="471" spans="10:11" ht="15.75" customHeight="1">
      <c r="J471" s="57"/>
      <c r="K471" s="57"/>
    </row>
    <row r="472" spans="10:11" ht="15.75" customHeight="1">
      <c r="J472" s="57"/>
      <c r="K472" s="57"/>
    </row>
    <row r="473" spans="10:11" ht="15.75" customHeight="1">
      <c r="J473" s="57"/>
      <c r="K473" s="57"/>
    </row>
    <row r="474" spans="10:11" ht="15.75" customHeight="1">
      <c r="J474" s="57"/>
      <c r="K474" s="57"/>
    </row>
    <row r="475" spans="10:11" ht="15.75" customHeight="1">
      <c r="J475" s="57"/>
      <c r="K475" s="57"/>
    </row>
    <row r="476" spans="10:11" ht="15.75" customHeight="1">
      <c r="J476" s="57"/>
      <c r="K476" s="57"/>
    </row>
    <row r="477" spans="10:11" ht="15.75" customHeight="1">
      <c r="J477" s="57"/>
      <c r="K477" s="57"/>
    </row>
    <row r="478" spans="10:11" ht="15.75" customHeight="1">
      <c r="J478" s="57"/>
      <c r="K478" s="57"/>
    </row>
    <row r="479" spans="10:11" ht="15.75" customHeight="1">
      <c r="J479" s="57"/>
      <c r="K479" s="57"/>
    </row>
    <row r="480" spans="10:11" ht="15.75" customHeight="1">
      <c r="J480" s="57"/>
      <c r="K480" s="57"/>
    </row>
    <row r="481" spans="10:11" ht="15.75" customHeight="1">
      <c r="J481" s="57"/>
      <c r="K481" s="57"/>
    </row>
    <row r="482" spans="10:11" ht="15.75" customHeight="1">
      <c r="J482" s="57"/>
      <c r="K482" s="57"/>
    </row>
    <row r="483" spans="10:11" ht="15.75" customHeight="1">
      <c r="J483" s="57"/>
      <c r="K483" s="57"/>
    </row>
    <row r="484" spans="10:11" ht="15.75" customHeight="1">
      <c r="J484" s="57"/>
      <c r="K484" s="57"/>
    </row>
    <row r="485" spans="10:11" ht="15.75" customHeight="1">
      <c r="J485" s="57"/>
      <c r="K485" s="57"/>
    </row>
    <row r="486" spans="10:11" ht="15.75" customHeight="1">
      <c r="J486" s="57"/>
      <c r="K486" s="57"/>
    </row>
    <row r="487" spans="10:11" ht="15.75" customHeight="1">
      <c r="J487" s="57"/>
      <c r="K487" s="57"/>
    </row>
    <row r="488" spans="10:11" ht="15.75" customHeight="1">
      <c r="J488" s="57"/>
      <c r="K488" s="57"/>
    </row>
    <row r="489" spans="10:11" ht="15.75" customHeight="1">
      <c r="J489" s="57"/>
      <c r="K489" s="57"/>
    </row>
    <row r="490" spans="10:11" ht="15.75" customHeight="1">
      <c r="J490" s="57"/>
      <c r="K490" s="57"/>
    </row>
    <row r="491" spans="10:11" ht="15.75" customHeight="1">
      <c r="J491" s="57"/>
      <c r="K491" s="57"/>
    </row>
    <row r="492" spans="10:11" ht="15.75" customHeight="1">
      <c r="J492" s="57"/>
      <c r="K492" s="57"/>
    </row>
    <row r="493" spans="10:11" ht="15.75" customHeight="1">
      <c r="J493" s="57"/>
      <c r="K493" s="57"/>
    </row>
    <row r="494" spans="10:11" ht="15.75" customHeight="1">
      <c r="J494" s="57"/>
      <c r="K494" s="57"/>
    </row>
    <row r="495" spans="10:11" ht="15.75" customHeight="1">
      <c r="J495" s="57"/>
      <c r="K495" s="57"/>
    </row>
    <row r="496" spans="10:11" ht="15.75" customHeight="1">
      <c r="J496" s="57"/>
      <c r="K496" s="57"/>
    </row>
    <row r="497" spans="10:11" ht="15.75" customHeight="1">
      <c r="J497" s="57"/>
      <c r="K497" s="57"/>
    </row>
    <row r="498" spans="10:11" ht="15.75" customHeight="1">
      <c r="J498" s="57"/>
      <c r="K498" s="57"/>
    </row>
    <row r="499" spans="10:11" ht="15.75" customHeight="1">
      <c r="J499" s="57"/>
      <c r="K499" s="57"/>
    </row>
    <row r="500" spans="10:11" ht="15.75" customHeight="1">
      <c r="J500" s="57"/>
      <c r="K500" s="57"/>
    </row>
    <row r="501" spans="10:11" ht="15.75" customHeight="1">
      <c r="J501" s="57"/>
      <c r="K501" s="57"/>
    </row>
    <row r="502" spans="10:11" ht="15.75" customHeight="1">
      <c r="J502" s="57"/>
      <c r="K502" s="57"/>
    </row>
    <row r="503" spans="10:11" ht="15.75" customHeight="1">
      <c r="J503" s="57"/>
      <c r="K503" s="57"/>
    </row>
    <row r="504" spans="10:11" ht="15.75" customHeight="1">
      <c r="J504" s="57"/>
      <c r="K504" s="57"/>
    </row>
    <row r="505" spans="10:11" ht="15.75" customHeight="1">
      <c r="J505" s="57"/>
      <c r="K505" s="57"/>
    </row>
    <row r="506" spans="10:11" ht="15.75" customHeight="1">
      <c r="J506" s="57"/>
      <c r="K506" s="57"/>
    </row>
    <row r="507" spans="10:11" ht="15.75" customHeight="1">
      <c r="J507" s="57"/>
      <c r="K507" s="57"/>
    </row>
    <row r="508" spans="10:11" ht="15.75" customHeight="1">
      <c r="J508" s="57"/>
      <c r="K508" s="57"/>
    </row>
    <row r="509" spans="10:11" ht="15.75" customHeight="1">
      <c r="J509" s="57"/>
      <c r="K509" s="57"/>
    </row>
    <row r="510" spans="10:11" ht="15.75" customHeight="1">
      <c r="J510" s="57"/>
      <c r="K510" s="57"/>
    </row>
    <row r="511" spans="10:11" ht="15.75" customHeight="1">
      <c r="J511" s="57"/>
      <c r="K511" s="57"/>
    </row>
    <row r="512" spans="10:11" ht="15.75" customHeight="1">
      <c r="J512" s="57"/>
      <c r="K512" s="57"/>
    </row>
    <row r="513" spans="10:11" ht="15.75" customHeight="1">
      <c r="J513" s="57"/>
      <c r="K513" s="57"/>
    </row>
    <row r="514" spans="10:11" ht="15.75" customHeight="1">
      <c r="J514" s="57"/>
      <c r="K514" s="57"/>
    </row>
    <row r="515" spans="10:11" ht="15.75" customHeight="1">
      <c r="J515" s="57"/>
      <c r="K515" s="57"/>
    </row>
    <row r="516" spans="10:11" ht="15.75" customHeight="1">
      <c r="J516" s="57"/>
      <c r="K516" s="57"/>
    </row>
    <row r="517" spans="10:11" ht="15.75" customHeight="1">
      <c r="J517" s="57"/>
      <c r="K517" s="57"/>
    </row>
    <row r="518" spans="10:11" ht="15.75" customHeight="1">
      <c r="J518" s="57"/>
      <c r="K518" s="57"/>
    </row>
    <row r="519" spans="10:11" ht="15.75" customHeight="1">
      <c r="J519" s="57"/>
      <c r="K519" s="57"/>
    </row>
    <row r="520" spans="10:11" ht="15.75" customHeight="1">
      <c r="J520" s="57"/>
      <c r="K520" s="57"/>
    </row>
    <row r="521" spans="10:11" ht="15.75" customHeight="1">
      <c r="J521" s="57"/>
      <c r="K521" s="57"/>
    </row>
    <row r="522" spans="10:11" ht="15.75" customHeight="1">
      <c r="J522" s="57"/>
      <c r="K522" s="57"/>
    </row>
    <row r="523" spans="10:11" ht="15.75" customHeight="1">
      <c r="J523" s="57"/>
      <c r="K523" s="57"/>
    </row>
    <row r="524" spans="10:11" ht="15.75" customHeight="1">
      <c r="J524" s="57"/>
      <c r="K524" s="57"/>
    </row>
    <row r="525" spans="10:11" ht="15.75" customHeight="1">
      <c r="J525" s="57"/>
      <c r="K525" s="57"/>
    </row>
    <row r="526" spans="10:11" ht="15.75" customHeight="1">
      <c r="J526" s="57"/>
      <c r="K526" s="57"/>
    </row>
    <row r="527" spans="10:11" ht="15.75" customHeight="1">
      <c r="J527" s="57"/>
      <c r="K527" s="57"/>
    </row>
    <row r="528" spans="10:11" ht="15.75" customHeight="1">
      <c r="J528" s="57"/>
      <c r="K528" s="57"/>
    </row>
    <row r="529" spans="10:11" ht="15.75" customHeight="1">
      <c r="J529" s="57"/>
      <c r="K529" s="57"/>
    </row>
    <row r="530" spans="10:11" ht="15.75" customHeight="1">
      <c r="J530" s="57"/>
      <c r="K530" s="57"/>
    </row>
    <row r="531" spans="10:11" ht="15.75" customHeight="1">
      <c r="J531" s="57"/>
      <c r="K531" s="57"/>
    </row>
    <row r="532" spans="10:11" ht="15.75" customHeight="1">
      <c r="J532" s="57"/>
      <c r="K532" s="57"/>
    </row>
    <row r="533" spans="10:11" ht="15.75" customHeight="1">
      <c r="J533" s="57"/>
      <c r="K533" s="57"/>
    </row>
    <row r="534" spans="10:11" ht="15.75" customHeight="1">
      <c r="J534" s="57"/>
      <c r="K534" s="57"/>
    </row>
    <row r="535" spans="10:11" ht="15.75" customHeight="1">
      <c r="J535" s="57"/>
      <c r="K535" s="57"/>
    </row>
    <row r="536" spans="10:11" ht="15.75" customHeight="1">
      <c r="J536" s="57"/>
      <c r="K536" s="57"/>
    </row>
    <row r="537" spans="10:11" ht="15.75" customHeight="1">
      <c r="J537" s="57"/>
      <c r="K537" s="57"/>
    </row>
    <row r="538" spans="10:11" ht="15.75" customHeight="1">
      <c r="J538" s="57"/>
      <c r="K538" s="57"/>
    </row>
    <row r="539" spans="10:11" ht="15.75" customHeight="1">
      <c r="J539" s="57"/>
      <c r="K539" s="57"/>
    </row>
    <row r="540" spans="10:11" ht="15.75" customHeight="1">
      <c r="J540" s="57"/>
      <c r="K540" s="57"/>
    </row>
    <row r="541" spans="10:11" ht="15.75" customHeight="1">
      <c r="J541" s="57"/>
      <c r="K541" s="57"/>
    </row>
    <row r="542" spans="10:11" ht="15.75" customHeight="1">
      <c r="J542" s="57"/>
      <c r="K542" s="57"/>
    </row>
    <row r="543" spans="10:11" ht="15.75" customHeight="1">
      <c r="J543" s="57"/>
      <c r="K543" s="57"/>
    </row>
    <row r="544" spans="10:11" ht="15.75" customHeight="1">
      <c r="J544" s="57"/>
      <c r="K544" s="57"/>
    </row>
    <row r="545" spans="10:11" ht="15.75" customHeight="1">
      <c r="J545" s="57"/>
      <c r="K545" s="57"/>
    </row>
    <row r="546" spans="10:11" ht="15.75" customHeight="1">
      <c r="J546" s="57"/>
      <c r="K546" s="57"/>
    </row>
    <row r="547" spans="10:11" ht="15.75" customHeight="1">
      <c r="J547" s="57"/>
      <c r="K547" s="57"/>
    </row>
    <row r="548" spans="10:11" ht="15.75" customHeight="1">
      <c r="J548" s="57"/>
      <c r="K548" s="57"/>
    </row>
    <row r="549" spans="10:11" ht="15.75" customHeight="1">
      <c r="J549" s="57"/>
      <c r="K549" s="57"/>
    </row>
    <row r="550" spans="10:11" ht="15.75" customHeight="1">
      <c r="J550" s="57"/>
      <c r="K550" s="57"/>
    </row>
    <row r="551" spans="10:11" ht="15.75" customHeight="1">
      <c r="J551" s="57"/>
      <c r="K551" s="57"/>
    </row>
    <row r="552" spans="10:11" ht="15.75" customHeight="1">
      <c r="J552" s="57"/>
      <c r="K552" s="57"/>
    </row>
    <row r="553" spans="10:11" ht="15.75" customHeight="1">
      <c r="J553" s="57"/>
      <c r="K553" s="57"/>
    </row>
    <row r="554" spans="10:11" ht="15.75" customHeight="1">
      <c r="J554" s="57"/>
      <c r="K554" s="57"/>
    </row>
    <row r="555" spans="10:11" ht="15.75" customHeight="1">
      <c r="J555" s="57"/>
      <c r="K555" s="57"/>
    </row>
    <row r="556" spans="10:11" ht="15.75" customHeight="1">
      <c r="J556" s="57"/>
      <c r="K556" s="57"/>
    </row>
    <row r="557" spans="10:11" ht="15.75" customHeight="1">
      <c r="J557" s="57"/>
      <c r="K557" s="57"/>
    </row>
    <row r="558" spans="10:11" ht="15.75" customHeight="1">
      <c r="J558" s="57"/>
      <c r="K558" s="57"/>
    </row>
    <row r="559" spans="10:11" ht="15.75" customHeight="1">
      <c r="J559" s="57"/>
      <c r="K559" s="57"/>
    </row>
    <row r="560" spans="10:11" ht="15.75" customHeight="1">
      <c r="J560" s="57"/>
      <c r="K560" s="57"/>
    </row>
    <row r="561" spans="10:11" ht="15.75" customHeight="1">
      <c r="J561" s="57"/>
      <c r="K561" s="57"/>
    </row>
    <row r="562" spans="10:11" ht="15.75" customHeight="1">
      <c r="J562" s="57"/>
      <c r="K562" s="57"/>
    </row>
    <row r="563" spans="10:11" ht="15.75" customHeight="1">
      <c r="J563" s="57"/>
      <c r="K563" s="57"/>
    </row>
    <row r="564" spans="10:11" ht="15.75" customHeight="1">
      <c r="J564" s="57"/>
      <c r="K564" s="57"/>
    </row>
    <row r="565" spans="10:11" ht="15.75" customHeight="1">
      <c r="J565" s="57"/>
      <c r="K565" s="57"/>
    </row>
    <row r="566" spans="10:11" ht="15.75" customHeight="1">
      <c r="J566" s="57"/>
      <c r="K566" s="57"/>
    </row>
    <row r="567" spans="10:11" ht="15.75" customHeight="1">
      <c r="J567" s="57"/>
      <c r="K567" s="57"/>
    </row>
    <row r="568" spans="10:11" ht="15.75" customHeight="1">
      <c r="J568" s="57"/>
      <c r="K568" s="57"/>
    </row>
    <row r="569" spans="10:11" ht="15.75" customHeight="1">
      <c r="J569" s="57"/>
      <c r="K569" s="57"/>
    </row>
    <row r="570" spans="10:11" ht="15.75" customHeight="1">
      <c r="J570" s="57"/>
      <c r="K570" s="57"/>
    </row>
    <row r="571" spans="10:11" ht="15.75" customHeight="1">
      <c r="J571" s="57"/>
      <c r="K571" s="57"/>
    </row>
    <row r="572" spans="10:11" ht="15.75" customHeight="1">
      <c r="J572" s="57"/>
      <c r="K572" s="57"/>
    </row>
    <row r="573" spans="10:11" ht="15.75" customHeight="1">
      <c r="J573" s="57"/>
      <c r="K573" s="57"/>
    </row>
    <row r="574" spans="10:11" ht="15.75" customHeight="1">
      <c r="J574" s="57"/>
      <c r="K574" s="57"/>
    </row>
    <row r="575" spans="10:11" ht="15.75" customHeight="1">
      <c r="J575" s="57"/>
      <c r="K575" s="57"/>
    </row>
    <row r="576" spans="10:11" ht="15.75" customHeight="1">
      <c r="J576" s="57"/>
      <c r="K576" s="57"/>
    </row>
    <row r="577" spans="10:11" ht="15.75" customHeight="1">
      <c r="J577" s="57"/>
      <c r="K577" s="57"/>
    </row>
    <row r="578" spans="10:11" ht="15.75" customHeight="1">
      <c r="J578" s="57"/>
      <c r="K578" s="57"/>
    </row>
    <row r="579" spans="10:11" ht="15.75" customHeight="1">
      <c r="J579" s="57"/>
      <c r="K579" s="57"/>
    </row>
    <row r="580" spans="10:11" ht="15.75" customHeight="1">
      <c r="J580" s="57"/>
      <c r="K580" s="57"/>
    </row>
    <row r="581" spans="10:11" ht="15.75" customHeight="1">
      <c r="J581" s="57"/>
      <c r="K581" s="57"/>
    </row>
    <row r="582" spans="10:11" ht="15.75" customHeight="1">
      <c r="J582" s="57"/>
      <c r="K582" s="57"/>
    </row>
    <row r="583" spans="10:11" ht="15.75" customHeight="1">
      <c r="J583" s="57"/>
      <c r="K583" s="57"/>
    </row>
    <row r="584" spans="10:11" ht="15.75" customHeight="1">
      <c r="J584" s="57"/>
      <c r="K584" s="57"/>
    </row>
    <row r="585" spans="10:11" ht="15.75" customHeight="1">
      <c r="J585" s="57"/>
      <c r="K585" s="57"/>
    </row>
    <row r="586" spans="10:11" ht="15.75" customHeight="1">
      <c r="J586" s="57"/>
      <c r="K586" s="57"/>
    </row>
    <row r="587" spans="10:11" ht="15.75" customHeight="1">
      <c r="J587" s="57"/>
      <c r="K587" s="57"/>
    </row>
    <row r="588" spans="10:11" ht="15.75" customHeight="1">
      <c r="J588" s="57"/>
      <c r="K588" s="57"/>
    </row>
    <row r="589" spans="10:11" ht="15.75" customHeight="1">
      <c r="J589" s="57"/>
      <c r="K589" s="57"/>
    </row>
    <row r="590" spans="10:11" ht="15.75" customHeight="1">
      <c r="J590" s="57"/>
      <c r="K590" s="57"/>
    </row>
    <row r="591" spans="10:11" ht="15.75" customHeight="1">
      <c r="J591" s="57"/>
      <c r="K591" s="57"/>
    </row>
    <row r="592" spans="10:11" ht="15.75" customHeight="1">
      <c r="J592" s="57"/>
      <c r="K592" s="57"/>
    </row>
    <row r="593" spans="10:11" ht="15.75" customHeight="1">
      <c r="J593" s="57"/>
      <c r="K593" s="57"/>
    </row>
    <row r="594" spans="10:11" ht="15.75" customHeight="1">
      <c r="J594" s="57"/>
      <c r="K594" s="57"/>
    </row>
    <row r="595" spans="10:11" ht="15.75" customHeight="1">
      <c r="J595" s="57"/>
      <c r="K595" s="57"/>
    </row>
    <row r="596" spans="10:11" ht="15.75" customHeight="1">
      <c r="J596" s="177"/>
      <c r="K596" s="177"/>
    </row>
    <row r="597" spans="10:11" ht="15.75" customHeight="1"/>
    <row r="598" spans="10:11" ht="15.75" customHeight="1"/>
    <row r="599" spans="10:11" ht="15.75" customHeight="1"/>
    <row r="600" spans="10:11" ht="15.75" customHeight="1"/>
    <row r="601" spans="10:11" ht="15.75" customHeight="1"/>
    <row r="602" spans="10:11" ht="15.75" customHeight="1"/>
    <row r="603" spans="10:11" ht="15.75" customHeight="1"/>
    <row r="604" spans="10:11" ht="15.75" customHeight="1"/>
    <row r="605" spans="10:11" ht="15.75" customHeight="1"/>
    <row r="606" spans="10:11" ht="15.75" customHeight="1"/>
    <row r="607" spans="10:11" ht="15.75" customHeight="1"/>
    <row r="608" spans="10:11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zoomScale="120" zoomScaleNormal="120" workbookViewId="0">
      <selection activeCell="G4" sqref="G4"/>
    </sheetView>
  </sheetViews>
  <sheetFormatPr defaultColWidth="14.44140625" defaultRowHeight="15" customHeight="1"/>
  <cols>
    <col min="1" max="1" width="23.33203125" style="31" customWidth="1"/>
    <col min="2" max="2" width="17.5546875" style="109" customWidth="1"/>
    <col min="3" max="3" width="18.44140625" style="109" customWidth="1"/>
    <col min="4" max="4" width="21.44140625" style="31" customWidth="1"/>
    <col min="5" max="5" width="18.109375" style="53" customWidth="1"/>
    <col min="6" max="6" width="19" style="31" bestFit="1" customWidth="1"/>
    <col min="7" max="8" width="35.109375" style="31" bestFit="1" customWidth="1"/>
    <col min="9" max="9" width="22.5546875" style="31" customWidth="1"/>
    <col min="10" max="10" width="5.44140625" style="31" customWidth="1"/>
    <col min="11" max="11" width="22" style="102" customWidth="1"/>
    <col min="12" max="12" width="20.33203125" style="103" customWidth="1"/>
    <col min="13" max="13" width="15.33203125" style="103" customWidth="1"/>
    <col min="14" max="15" width="8.6640625" style="31" customWidth="1"/>
    <col min="16" max="16" width="12.44140625" style="103" customWidth="1"/>
    <col min="17" max="21" width="8.6640625" style="31" customWidth="1"/>
    <col min="22" max="16384" width="14.44140625" style="31"/>
  </cols>
  <sheetData>
    <row r="1" spans="1:16" s="123" customFormat="1" ht="14.4">
      <c r="A1" s="115" t="s">
        <v>12</v>
      </c>
      <c r="B1" s="116" t="s">
        <v>337</v>
      </c>
      <c r="C1" s="116" t="s">
        <v>338</v>
      </c>
      <c r="D1" s="117" t="s">
        <v>339</v>
      </c>
      <c r="E1" s="118" t="s">
        <v>340</v>
      </c>
      <c r="F1" s="117" t="s">
        <v>341</v>
      </c>
      <c r="G1" s="119" t="s">
        <v>342</v>
      </c>
      <c r="H1" s="115" t="s">
        <v>426</v>
      </c>
      <c r="I1" s="120" t="s">
        <v>427</v>
      </c>
      <c r="J1" s="125"/>
      <c r="K1" s="121" t="s">
        <v>435</v>
      </c>
      <c r="L1" s="122" t="s">
        <v>437</v>
      </c>
      <c r="M1" s="122" t="s">
        <v>436</v>
      </c>
      <c r="P1" s="124"/>
    </row>
    <row r="2" spans="1:16" ht="14.4">
      <c r="A2" s="105" t="s">
        <v>50</v>
      </c>
      <c r="B2" s="106">
        <v>45458</v>
      </c>
      <c r="C2" s="106">
        <v>45488</v>
      </c>
      <c r="D2" s="105" t="s">
        <v>343</v>
      </c>
      <c r="E2" s="107">
        <v>175000</v>
      </c>
      <c r="F2" s="105" t="s">
        <v>344</v>
      </c>
      <c r="G2" s="108" t="s">
        <v>422</v>
      </c>
      <c r="H2" s="105" t="s">
        <v>352</v>
      </c>
      <c r="I2" s="31" t="s">
        <v>351</v>
      </c>
      <c r="K2" s="113">
        <f>AVERAGEIFS(Posts!P:P, Posts!C:C, "&lt;"&amp;B2)</f>
        <v>8.761517042161944E-2</v>
      </c>
      <c r="L2" s="114">
        <f>AVERAGEIFS(Posts!H:H, Posts!C:C, "&gt;="&amp;B2, Posts!C:C, "&lt;="&amp;C2)</f>
        <v>197.83333333333334</v>
      </c>
      <c r="M2" s="114">
        <f>IF(K2=0,"",((L2-K2)/K2)*100)</f>
        <v>225698.03518194958</v>
      </c>
      <c r="N2" s="110"/>
      <c r="O2" s="103"/>
    </row>
    <row r="3" spans="1:16" ht="14.4">
      <c r="A3" s="105" t="s">
        <v>47</v>
      </c>
      <c r="B3" s="106">
        <v>45627</v>
      </c>
      <c r="C3" s="106">
        <v>45657</v>
      </c>
      <c r="D3" s="105" t="s">
        <v>345</v>
      </c>
      <c r="E3" s="107">
        <v>225000</v>
      </c>
      <c r="F3" s="105" t="s">
        <v>346</v>
      </c>
      <c r="G3" s="108" t="s">
        <v>423</v>
      </c>
      <c r="H3" s="105" t="s">
        <v>352</v>
      </c>
      <c r="I3" s="31" t="s">
        <v>35</v>
      </c>
      <c r="K3" s="113">
        <f>AVERAGEIFS(Posts!P:P, Posts!C:C, "&lt;"&amp;B3)</f>
        <v>9.0137338300168415E-2</v>
      </c>
      <c r="L3" s="114">
        <f>AVERAGEIFS(Posts!H:H, Posts!C:C, "&gt;="&amp;B3, Posts!C:C, "&lt;="&amp;C3)</f>
        <v>226.11111111111111</v>
      </c>
      <c r="M3" s="114">
        <f>IF(K3=0,"",((L3-K3)/K3)*100)</f>
        <v>250751.77283373213</v>
      </c>
      <c r="N3" s="110"/>
      <c r="O3" s="103"/>
    </row>
    <row r="4" spans="1:16" ht="14.4">
      <c r="A4" s="105" t="s">
        <v>17</v>
      </c>
      <c r="B4" s="106">
        <v>45667</v>
      </c>
      <c r="C4" s="106">
        <v>45698</v>
      </c>
      <c r="D4" s="105" t="s">
        <v>347</v>
      </c>
      <c r="E4" s="107">
        <v>200000</v>
      </c>
      <c r="F4" s="105" t="s">
        <v>348</v>
      </c>
      <c r="G4" s="108" t="s">
        <v>424</v>
      </c>
      <c r="H4" s="105" t="s">
        <v>357</v>
      </c>
      <c r="I4" s="31" t="s">
        <v>38</v>
      </c>
      <c r="K4" s="113">
        <f>AVERAGEIFS(Posts!P:P, Posts!C:C, "&lt;"&amp;B4)</f>
        <v>9.0969117200630029E-2</v>
      </c>
      <c r="L4" s="114">
        <f>AVERAGEIFS(Posts!H:H, Posts!C:C, "&gt;="&amp;B4, Posts!C:C, "&lt;="&amp;C4)</f>
        <v>196.09090909090909</v>
      </c>
      <c r="M4" s="114">
        <f>IF(K4=0,"",((L4-K4)/K4)*100)</f>
        <v>215457.66959729386</v>
      </c>
      <c r="N4" s="110"/>
      <c r="O4" s="103"/>
    </row>
    <row r="5" spans="1:16" ht="14.4">
      <c r="A5" s="105" t="s">
        <v>21</v>
      </c>
      <c r="B5" s="106">
        <v>45717</v>
      </c>
      <c r="C5" s="106">
        <v>45747</v>
      </c>
      <c r="D5" s="105" t="s">
        <v>349</v>
      </c>
      <c r="E5" s="107">
        <v>160000</v>
      </c>
      <c r="F5" s="105" t="s">
        <v>350</v>
      </c>
      <c r="G5" s="108" t="s">
        <v>425</v>
      </c>
      <c r="H5" s="105" t="s">
        <v>20</v>
      </c>
      <c r="I5" s="31" t="s">
        <v>358</v>
      </c>
      <c r="K5" s="113">
        <f>AVERAGEIFS(Posts!P:P, Posts!C:C, "&lt;"&amp;B5)</f>
        <v>9.2816605169476887E-2</v>
      </c>
      <c r="L5" s="114">
        <f>AVERAGEIFS(Posts!H:H, Posts!C:C, "&gt;="&amp;B5, Posts!C:C, "&lt;="&amp;C5)</f>
        <v>250.69230769230768</v>
      </c>
      <c r="M5" s="114">
        <f>IF(K5=0,"",((L5-K5)/K5)*100)</f>
        <v>269994.24362651532</v>
      </c>
      <c r="N5" s="110"/>
      <c r="O5" s="103"/>
    </row>
    <row r="7" spans="1:16" ht="15" customHeight="1">
      <c r="K7" s="198" t="s">
        <v>438</v>
      </c>
      <c r="L7" s="198"/>
      <c r="M7" s="19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7:M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BA65-3273-4A54-AEB0-DA4EB20E4169}">
  <dimension ref="A1:AE1001"/>
  <sheetViews>
    <sheetView topLeftCell="T1" workbookViewId="0">
      <pane ySplit="1" topLeftCell="A2" activePane="bottomLeft" state="frozen"/>
      <selection pane="bottomLeft" activeCell="AB12" sqref="AB12"/>
    </sheetView>
  </sheetViews>
  <sheetFormatPr defaultRowHeight="14.4"/>
  <cols>
    <col min="1" max="1" width="23.109375" style="21" customWidth="1"/>
    <col min="2" max="2" width="24" style="22" customWidth="1"/>
    <col min="4" max="4" width="29.44140625" style="3" customWidth="1"/>
    <col min="5" max="5" width="12.88671875" style="3" customWidth="1"/>
    <col min="7" max="7" width="35.44140625" style="5" customWidth="1"/>
    <col min="8" max="8" width="38" style="5" customWidth="1"/>
    <col min="10" max="10" width="14.88671875" bestFit="1" customWidth="1"/>
    <col min="11" max="11" width="12" bestFit="1" customWidth="1"/>
    <col min="12" max="12" width="13.5546875" bestFit="1" customWidth="1"/>
    <col min="13" max="13" width="16.33203125" customWidth="1"/>
    <col min="14" max="14" width="11.33203125" customWidth="1"/>
    <col min="15" max="15" width="13.5546875" bestFit="1" customWidth="1"/>
    <col min="16" max="16" width="17.44140625" bestFit="1" customWidth="1"/>
    <col min="17" max="17" width="11.44140625" customWidth="1"/>
    <col min="18" max="18" width="13.5546875" bestFit="1" customWidth="1"/>
    <col min="19" max="19" width="17.44140625" bestFit="1" customWidth="1"/>
    <col min="20" max="20" width="16.33203125" customWidth="1"/>
    <col min="21" max="21" width="18.5546875" bestFit="1" customWidth="1"/>
    <col min="22" max="22" width="22.44140625" bestFit="1" customWidth="1"/>
    <col min="24" max="24" width="23.33203125" style="3" customWidth="1"/>
    <col min="25" max="25" width="34" style="8" bestFit="1" customWidth="1"/>
    <col min="27" max="27" width="18.5546875" bestFit="1" customWidth="1"/>
    <col min="28" max="28" width="14.21875" customWidth="1"/>
    <col min="30" max="30" width="18.5546875" bestFit="1" customWidth="1"/>
    <col min="31" max="31" width="12.5546875" bestFit="1" customWidth="1"/>
  </cols>
  <sheetData>
    <row r="1" spans="1:31">
      <c r="A1" s="16" t="s">
        <v>359</v>
      </c>
      <c r="B1" s="6" t="s">
        <v>377</v>
      </c>
      <c r="D1" s="208" t="s">
        <v>376</v>
      </c>
      <c r="E1" s="208"/>
      <c r="G1" s="24" t="s">
        <v>389</v>
      </c>
      <c r="H1" s="6" t="s">
        <v>387</v>
      </c>
      <c r="X1" s="37" t="s">
        <v>382</v>
      </c>
      <c r="Y1" s="37" t="s">
        <v>388</v>
      </c>
      <c r="AA1" s="49" t="s">
        <v>399</v>
      </c>
      <c r="AB1" s="49" t="s">
        <v>375</v>
      </c>
      <c r="AD1" s="49" t="s">
        <v>399</v>
      </c>
      <c r="AE1" s="49" t="s">
        <v>375</v>
      </c>
    </row>
    <row r="2" spans="1:31">
      <c r="A2" s="17">
        <f>(Posts!F2+Posts!G2+Posts!H2)</f>
        <v>2796</v>
      </c>
      <c r="B2" s="39">
        <f>('Engagement Analysis'!A2)/Posts!I2</f>
        <v>0.13200509890939993</v>
      </c>
      <c r="D2" s="40" t="s">
        <v>361</v>
      </c>
      <c r="E2" s="7">
        <f>AVERAGEIF(Posts!B:B,"Instagram",'Engagement Analysis'!B:B)</f>
        <v>9.0794830422286865E-2</v>
      </c>
      <c r="G2" s="154">
        <f>LARGE('Engagement Analysis'!B:B,1)</f>
        <v>0.26064752360763155</v>
      </c>
      <c r="H2" s="155" t="str">
        <f>INDEX(Posts!E:E, MATCH(G2, 'Engagement Analysis'!B:B, 0))</f>
        <v>Get into the groove with our new drop!</v>
      </c>
      <c r="M2" s="211" t="s">
        <v>392</v>
      </c>
      <c r="N2" s="211"/>
      <c r="O2" s="211"/>
      <c r="P2" s="211"/>
      <c r="Q2" s="211"/>
      <c r="R2" s="211"/>
      <c r="S2" s="211"/>
      <c r="X2" s="41">
        <f>LARGE(Posts!$J$2:$J$301,1)</f>
        <v>74761</v>
      </c>
      <c r="Y2" s="41" t="str">
        <f>INDEX(Posts!$L$2:$L$301, MATCH(X2, $X$2:$X$301, 0))</f>
        <v>#SoundtrackOfLife,#NowPlaying</v>
      </c>
      <c r="AA2" s="46" t="s">
        <v>20</v>
      </c>
      <c r="AB2" s="44">
        <v>25632</v>
      </c>
      <c r="AD2" s="46" t="s">
        <v>351</v>
      </c>
      <c r="AE2" s="47">
        <v>6621</v>
      </c>
    </row>
    <row r="3" spans="1:31">
      <c r="A3" s="17">
        <f>(Posts!F3+Posts!G3+Posts!H3)</f>
        <v>2537</v>
      </c>
      <c r="B3" s="39">
        <f>('Engagement Analysis'!A3)/Posts!I3</f>
        <v>8.7095334546328396E-2</v>
      </c>
      <c r="D3" s="40" t="s">
        <v>362</v>
      </c>
      <c r="E3" s="7">
        <f>AVERAGEIF(Posts!B:B,"twitter",'Engagement Analysis'!B:B)</f>
        <v>9.6034606364774039E-2</v>
      </c>
      <c r="G3" s="154">
        <f>LARGE('Engagement Analysis'!B:B,2)</f>
        <v>0.23193025217961938</v>
      </c>
      <c r="H3" s="155" t="str">
        <f>INDEX(Posts!E:E, MATCH(G3, 'Engagement Analysis'!B:B, 0))</f>
        <v>New music just dropped. Hit play!</v>
      </c>
      <c r="K3" s="1" t="s">
        <v>390</v>
      </c>
      <c r="T3" s="44"/>
      <c r="U3" s="44"/>
      <c r="V3" s="44"/>
      <c r="X3" s="41">
        <f>LARGE(Posts!$J$2:$J$301,2)</f>
        <v>74590</v>
      </c>
      <c r="Y3" s="41" t="str">
        <f>INDEX(Posts!$L$2:$L$301, MATCH(X3, $X$2:$X$301, 0))</f>
        <v>#DiscoverWeekly</v>
      </c>
      <c r="AA3" s="46" t="s">
        <v>351</v>
      </c>
      <c r="AB3" s="44">
        <v>5672</v>
      </c>
      <c r="AD3" s="46" t="s">
        <v>35</v>
      </c>
      <c r="AE3" s="47">
        <v>15830</v>
      </c>
    </row>
    <row r="4" spans="1:31">
      <c r="A4" s="17">
        <f>(Posts!F4+Posts!G4+Posts!H4)</f>
        <v>3350</v>
      </c>
      <c r="B4" s="39">
        <f>('Engagement Analysis'!A4)/Posts!I4</f>
        <v>7.0477352576105018E-2</v>
      </c>
      <c r="D4" s="40" t="s">
        <v>363</v>
      </c>
      <c r="E4" s="7">
        <f>AVERAGEIF(Posts!B:B,"YouTube",'Engagement Analysis'!B:B)</f>
        <v>8.8108118547634104E-2</v>
      </c>
      <c r="G4" s="154">
        <f>LARGE('Engagement Analysis'!B:B,3)</f>
        <v>0.22967524699836073</v>
      </c>
      <c r="H4" s="155" t="str">
        <f>INDEX(Posts!E:E, MATCH(G4, 'Engagement Analysis'!B:B, 0))</f>
        <v>Explore the latest podcasts now.</v>
      </c>
      <c r="J4" s="44"/>
      <c r="K4" s="44" t="s">
        <v>14</v>
      </c>
      <c r="L4" s="44"/>
      <c r="M4" s="44"/>
      <c r="N4" s="44" t="s">
        <v>23</v>
      </c>
      <c r="O4" s="44"/>
      <c r="P4" s="44"/>
      <c r="Q4" s="44" t="s">
        <v>28</v>
      </c>
      <c r="R4" s="44"/>
      <c r="S4" s="44"/>
      <c r="T4" s="44" t="s">
        <v>365</v>
      </c>
      <c r="U4" s="44" t="s">
        <v>366</v>
      </c>
      <c r="V4" s="44" t="s">
        <v>368</v>
      </c>
      <c r="X4" s="41">
        <f>LARGE(Posts!$J$2:$J$301,3)</f>
        <v>74305</v>
      </c>
      <c r="Y4" s="41" t="str">
        <f>INDEX(Posts!$L$2:$L$301, MATCH(X4, $X$2:$X$301, 0))</f>
        <v>#MusicForEveryone,#NowPlaying</v>
      </c>
      <c r="AA4" s="46" t="s">
        <v>35</v>
      </c>
      <c r="AB4" s="44">
        <v>10871</v>
      </c>
      <c r="AD4" s="46" t="s">
        <v>38</v>
      </c>
      <c r="AE4" s="47">
        <v>5557</v>
      </c>
    </row>
    <row r="5" spans="1:31">
      <c r="A5" s="17">
        <f>(Posts!F5+Posts!G5+Posts!H5)</f>
        <v>3599</v>
      </c>
      <c r="B5" s="39">
        <f>('Engagement Analysis'!A5)/Posts!I5</f>
        <v>0.1215714092690177</v>
      </c>
      <c r="D5" s="43"/>
      <c r="E5" s="23"/>
      <c r="G5" s="154">
        <f>LARGE('Engagement Analysis'!B:B,4)</f>
        <v>0.20445859872611466</v>
      </c>
      <c r="H5" s="155" t="str">
        <f>INDEX(Posts!E:E, MATCH(G5, 'Engagement Analysis'!B:B, 0))</f>
        <v>New music just dropped. Hit play!</v>
      </c>
      <c r="J5" s="45" t="s">
        <v>391</v>
      </c>
      <c r="K5" s="44" t="s">
        <v>364</v>
      </c>
      <c r="L5" s="44" t="s">
        <v>367</v>
      </c>
      <c r="M5" s="44" t="s">
        <v>369</v>
      </c>
      <c r="N5" s="44" t="s">
        <v>364</v>
      </c>
      <c r="O5" s="44" t="s">
        <v>367</v>
      </c>
      <c r="P5" s="44" t="s">
        <v>369</v>
      </c>
      <c r="Q5" s="44" t="s">
        <v>364</v>
      </c>
      <c r="R5" s="44" t="s">
        <v>367</v>
      </c>
      <c r="S5" s="44" t="s">
        <v>369</v>
      </c>
      <c r="T5" s="44"/>
      <c r="U5" s="44"/>
      <c r="V5" s="44"/>
      <c r="X5" s="41">
        <f>LARGE(Posts!$J$2:$J$301,4)</f>
        <v>74048</v>
      </c>
      <c r="Y5" s="41" t="str">
        <f>INDEX(Posts!$L$2:$L$301, MATCH(X5, $X$2:$X$301, 0))</f>
        <v>#SoundtrackOfLife,#NowPlaying</v>
      </c>
      <c r="AA5" s="46" t="s">
        <v>38</v>
      </c>
      <c r="AB5" s="44">
        <v>15421</v>
      </c>
      <c r="AD5" s="46" t="s">
        <v>352</v>
      </c>
      <c r="AE5" s="47">
        <v>7088</v>
      </c>
    </row>
    <row r="6" spans="1:31" ht="14.4" customHeight="1">
      <c r="A6" s="17">
        <f>(Posts!F6+Posts!G6+Posts!H6)</f>
        <v>3208</v>
      </c>
      <c r="B6" s="39">
        <f>('Engagement Analysis'!A6)/Posts!I6</f>
        <v>0.1314700217204213</v>
      </c>
      <c r="D6" s="222" t="s">
        <v>378</v>
      </c>
      <c r="E6" s="222"/>
      <c r="G6" s="154">
        <f>LARGE('Engagement Analysis'!B:B,5)</f>
        <v>0.20241060666934513</v>
      </c>
      <c r="H6" s="155" t="str">
        <f>INDEX(Posts!E:E, MATCH(G6, 'Engagement Analysis'!B:B, 0))</f>
        <v>Discover fresh beats on Spotify!</v>
      </c>
      <c r="J6" s="46" t="s">
        <v>49</v>
      </c>
      <c r="K6" s="47"/>
      <c r="L6" s="47"/>
      <c r="M6" s="47"/>
      <c r="N6" s="47"/>
      <c r="O6" s="47"/>
      <c r="P6" s="47"/>
      <c r="Q6" s="47">
        <v>89871</v>
      </c>
      <c r="R6" s="47">
        <v>9086</v>
      </c>
      <c r="S6" s="47">
        <v>6826</v>
      </c>
      <c r="T6" s="47">
        <v>89871</v>
      </c>
      <c r="U6" s="47">
        <v>9086</v>
      </c>
      <c r="V6" s="47">
        <v>6826</v>
      </c>
      <c r="X6" s="41">
        <f>LARGE(Posts!$J$2:$J$301,5)</f>
        <v>73793</v>
      </c>
      <c r="Y6" s="41" t="str">
        <f>INDEX(Posts!$L$2:$L$301, MATCH(X6, $X$2:$X$301, 0))</f>
        <v>#DiscoverWeekly,#SpotifyWrapped</v>
      </c>
      <c r="AA6" s="156" t="s">
        <v>360</v>
      </c>
      <c r="AB6" s="157">
        <v>57596</v>
      </c>
      <c r="AD6" s="156" t="s">
        <v>360</v>
      </c>
      <c r="AE6" s="158">
        <v>35096</v>
      </c>
    </row>
    <row r="7" spans="1:31">
      <c r="A7" s="17">
        <f>(Posts!F7+Posts!G7+Posts!H7)</f>
        <v>4396</v>
      </c>
      <c r="B7" s="39">
        <f>('Engagement Analysis'!A7)/Posts!I7</f>
        <v>7.4828079253761837E-2</v>
      </c>
      <c r="D7" s="222"/>
      <c r="E7" s="222"/>
      <c r="G7" s="154">
        <f>LARGE('Engagement Analysis'!B:B,6)</f>
        <v>0.19548583208133888</v>
      </c>
      <c r="H7" s="155" t="str">
        <f>INDEX(Posts!E:E, MATCH(G7, 'Engagement Analysis'!B:B, 0))</f>
        <v>What's your vibe today? #SpotifyHits</v>
      </c>
      <c r="J7" s="46" t="s">
        <v>24</v>
      </c>
      <c r="K7" s="47">
        <v>61815</v>
      </c>
      <c r="L7" s="47">
        <v>7993</v>
      </c>
      <c r="M7" s="47">
        <v>5656</v>
      </c>
      <c r="N7" s="196">
        <v>272103</v>
      </c>
      <c r="O7" s="47">
        <v>26494</v>
      </c>
      <c r="P7" s="47">
        <v>18442</v>
      </c>
      <c r="Q7" s="47"/>
      <c r="R7" s="47"/>
      <c r="S7" s="47"/>
      <c r="T7" s="47">
        <v>333918</v>
      </c>
      <c r="U7" s="47">
        <v>34487</v>
      </c>
      <c r="V7" s="47">
        <v>24098</v>
      </c>
      <c r="X7" s="41">
        <f>LARGE(Posts!$J$2:$J$301,6)</f>
        <v>73593</v>
      </c>
      <c r="Y7" s="41" t="str">
        <f>INDEX(Posts!$L$2:$L$301, MATCH(X7, $X$2:$X$301, 0))</f>
        <v>#DiscoverWeekly,#SpotifyWrapped</v>
      </c>
      <c r="AA7" s="207" t="s">
        <v>398</v>
      </c>
      <c r="AB7" s="207"/>
      <c r="AC7" s="207"/>
      <c r="AD7" s="207"/>
      <c r="AE7" s="207"/>
    </row>
    <row r="8" spans="1:31">
      <c r="A8" s="17">
        <f>(Posts!F8+Posts!G8+Posts!H8)</f>
        <v>5410</v>
      </c>
      <c r="B8" s="39">
        <f>('Engagement Analysis'!A8)/Posts!I8</f>
        <v>0.26064752360763155</v>
      </c>
      <c r="D8" s="43"/>
      <c r="E8" s="23"/>
      <c r="G8" s="154">
        <f>LARGE('Engagement Analysis'!B:B,7)</f>
        <v>0.19390491670052823</v>
      </c>
      <c r="H8" s="155" t="str">
        <f>INDEX(Posts!E:E, MATCH(G8, 'Engagement Analysis'!B:B, 0))</f>
        <v>From pop to podcasts, its all here.</v>
      </c>
      <c r="J8" s="46" t="s">
        <v>15</v>
      </c>
      <c r="K8" s="196">
        <v>189658</v>
      </c>
      <c r="L8" s="47">
        <v>21292</v>
      </c>
      <c r="M8" s="47">
        <v>15162</v>
      </c>
      <c r="N8" s="47">
        <v>178192</v>
      </c>
      <c r="O8" s="47">
        <v>19004</v>
      </c>
      <c r="P8" s="47">
        <v>13135</v>
      </c>
      <c r="Q8" s="47">
        <v>105536</v>
      </c>
      <c r="R8" s="47">
        <v>9532</v>
      </c>
      <c r="S8" s="47">
        <v>7845</v>
      </c>
      <c r="T8" s="47">
        <v>473386</v>
      </c>
      <c r="U8" s="47">
        <v>49828</v>
      </c>
      <c r="V8" s="47">
        <v>36142</v>
      </c>
      <c r="X8" s="41">
        <f>LARGE(Posts!$J$2:$J$301,7)</f>
        <v>73503</v>
      </c>
      <c r="Y8" s="41" t="str">
        <f>INDEX(Posts!$L$2:$L$301, MATCH(X8, $X$2:$X$301, 0))</f>
        <v>#SoundtrackOfLife,#NowPlaying</v>
      </c>
    </row>
    <row r="9" spans="1:31">
      <c r="A9" s="17">
        <f>(Posts!F9+Posts!G9+Posts!H9)</f>
        <v>1842</v>
      </c>
      <c r="B9" s="39">
        <f>('Engagement Analysis'!A9)/Posts!I9</f>
        <v>8.7100435029317191E-2</v>
      </c>
      <c r="D9" s="212" t="s">
        <v>459</v>
      </c>
      <c r="E9" s="212"/>
      <c r="G9" s="154">
        <f>LARGE('Engagement Analysis'!B:B,8)</f>
        <v>0.19261223173659131</v>
      </c>
      <c r="H9" s="155" t="str">
        <f>INDEX(Posts!E:E, MATCH(G9, 'Engagement Analysis'!B:B, 0))</f>
        <v xml:space="preserve">Wrapped is here! Relive your top tracks </v>
      </c>
      <c r="J9" s="46" t="s">
        <v>360</v>
      </c>
      <c r="K9" s="47">
        <v>251473</v>
      </c>
      <c r="L9" s="47">
        <v>29285</v>
      </c>
      <c r="M9" s="47">
        <v>20818</v>
      </c>
      <c r="N9" s="47">
        <v>450295</v>
      </c>
      <c r="O9" s="47">
        <v>45498</v>
      </c>
      <c r="P9" s="47">
        <v>31577</v>
      </c>
      <c r="Q9" s="47">
        <v>195407</v>
      </c>
      <c r="R9" s="47">
        <v>18618</v>
      </c>
      <c r="S9" s="47">
        <v>14671</v>
      </c>
      <c r="T9" s="47">
        <v>897175</v>
      </c>
      <c r="U9" s="47">
        <v>93401</v>
      </c>
      <c r="V9" s="47">
        <v>67066</v>
      </c>
      <c r="X9" s="41">
        <f>LARGE(Posts!$J$2:$J$301,8)</f>
        <v>73287</v>
      </c>
      <c r="Y9" s="41" t="str">
        <f>INDEX(Posts!$L$2:$L$301, MATCH(X9, $X$2:$X$301, 0))</f>
        <v>#DiscoverWeekly,#MusicForEveryone</v>
      </c>
      <c r="AA9" s="206" t="s">
        <v>397</v>
      </c>
      <c r="AB9" s="206"/>
    </row>
    <row r="10" spans="1:31">
      <c r="A10" s="17">
        <f>(Posts!F10+Posts!G10+Posts!H10)</f>
        <v>4954</v>
      </c>
      <c r="B10" s="39">
        <f>('Engagement Analysis'!A10)/Posts!I10</f>
        <v>8.3943337400027115E-2</v>
      </c>
      <c r="D10" s="212"/>
      <c r="E10" s="212"/>
      <c r="G10" s="154">
        <f>LARGE('Engagement Analysis'!B:B,9)</f>
        <v>0.18723441538528934</v>
      </c>
      <c r="H10" s="155" t="str">
        <f>INDEX(Posts!E:E, MATCH(G10, 'Engagement Analysis'!B:B, 0))</f>
        <v>Top trending tracks updated daily!</v>
      </c>
      <c r="X10" s="41">
        <f>LARGE(Posts!$J$2:$J$301,9)</f>
        <v>73144</v>
      </c>
      <c r="Y10" s="41" t="str">
        <f>INDEX(Posts!$L$2:$L$301, MATCH(X10, $X$2:$X$301, 0))</f>
        <v>#NowPlaying</v>
      </c>
      <c r="AA10" s="46" t="s">
        <v>20</v>
      </c>
      <c r="AB10" s="44">
        <v>25632</v>
      </c>
    </row>
    <row r="11" spans="1:31">
      <c r="A11" s="17">
        <f>(Posts!F11+Posts!G11+Posts!H11)</f>
        <v>2803</v>
      </c>
      <c r="B11" s="39">
        <f>('Engagement Analysis'!A11)/Posts!I11</f>
        <v>0.12997310581470833</v>
      </c>
      <c r="D11" s="43"/>
      <c r="E11" s="23"/>
      <c r="G11" s="154">
        <f>LARGE('Engagement Analysis'!B:B,10)</f>
        <v>0.18517978620019437</v>
      </c>
      <c r="H11" s="155" t="str">
        <f>INDEX(Posts!E:E, MATCH(G11, 'Engagement Analysis'!B:B, 0))</f>
        <v>Music that moves you only on Spotify.</v>
      </c>
      <c r="X11" s="41">
        <f>LARGE(Posts!$J$2:$J$301,10)</f>
        <v>72934</v>
      </c>
      <c r="Y11" s="41" t="str">
        <f>INDEX(Posts!$L$2:$L$301, MATCH(X11, $X$2:$X$301, 0))</f>
        <v>#NowPlaying</v>
      </c>
      <c r="AA11" s="46" t="s">
        <v>351</v>
      </c>
      <c r="AB11" s="44">
        <v>12293</v>
      </c>
    </row>
    <row r="12" spans="1:31">
      <c r="A12" s="17">
        <f>(Posts!F12+Posts!G12+Posts!H12)</f>
        <v>2647</v>
      </c>
      <c r="B12" s="39">
        <f>('Engagement Analysis'!A12)/Posts!I12</f>
        <v>8.4525482181632389E-2</v>
      </c>
      <c r="D12" s="43"/>
      <c r="E12" s="4"/>
      <c r="G12" s="4"/>
      <c r="H12" s="4"/>
      <c r="N12" s="213" t="s">
        <v>392</v>
      </c>
      <c r="O12" s="214"/>
      <c r="P12" s="214"/>
      <c r="Q12" s="214"/>
      <c r="R12" s="214"/>
      <c r="S12" s="214"/>
      <c r="T12" s="215"/>
      <c r="X12" s="41">
        <f>LARGE(Posts!$J$2:$J$301,11)</f>
        <v>72704</v>
      </c>
      <c r="Y12" s="41" t="str">
        <f>INDEX(Posts!$L$2:$L$301, MATCH(X12, $X$2:$X$301, 0))</f>
        <v>#SoundtrackOfLife</v>
      </c>
      <c r="AA12" s="46" t="s">
        <v>35</v>
      </c>
      <c r="AB12" s="51">
        <v>26701</v>
      </c>
    </row>
    <row r="13" spans="1:31">
      <c r="A13" s="17">
        <f>(Posts!F13+Posts!G13+Posts!H13)</f>
        <v>2082</v>
      </c>
      <c r="B13" s="39">
        <f>('Engagement Analysis'!A13)/Posts!I13</f>
        <v>5.4191936281527367E-2</v>
      </c>
      <c r="D13" s="43"/>
      <c r="E13" s="23"/>
      <c r="G13" s="209" t="s">
        <v>460</v>
      </c>
      <c r="H13" s="210"/>
      <c r="N13" s="216"/>
      <c r="O13" s="217"/>
      <c r="P13" s="217"/>
      <c r="Q13" s="217"/>
      <c r="R13" s="217"/>
      <c r="S13" s="217"/>
      <c r="T13" s="218"/>
      <c r="X13" s="41">
        <f>LARGE(Posts!$J$2:$J$301,12)</f>
        <v>72595</v>
      </c>
      <c r="Y13" s="41" t="str">
        <f>INDEX(Posts!$L$2:$L$301, MATCH(X13, $X$2:$X$301, 0))</f>
        <v>#SoundtrackOfLife,#NowPlaying</v>
      </c>
      <c r="AA13" s="46" t="s">
        <v>38</v>
      </c>
      <c r="AB13" s="44">
        <v>20978</v>
      </c>
    </row>
    <row r="14" spans="1:31" ht="28.8">
      <c r="A14" s="17">
        <f>(Posts!F14+Posts!G14+Posts!H14)</f>
        <v>4336</v>
      </c>
      <c r="B14" s="39">
        <f>('Engagement Analysis'!A14)/Posts!I14</f>
        <v>7.4550393727863554E-2</v>
      </c>
      <c r="D14" s="43"/>
      <c r="E14" s="23"/>
      <c r="G14" s="153" t="s">
        <v>379</v>
      </c>
      <c r="H14" s="25" t="s">
        <v>383</v>
      </c>
      <c r="N14" s="219"/>
      <c r="O14" s="220"/>
      <c r="P14" s="220"/>
      <c r="Q14" s="220"/>
      <c r="R14" s="220"/>
      <c r="S14" s="220"/>
      <c r="T14" s="221"/>
      <c r="X14" s="41">
        <f>LARGE(Posts!$J$2:$J$301,13)</f>
        <v>72573</v>
      </c>
      <c r="Y14" s="41" t="str">
        <f>INDEX(Posts!$L$2:$L$301, MATCH(X14, $X$2:$X$301, 0))</f>
        <v>#MusicForEveryone,#NowPlaying</v>
      </c>
      <c r="AA14" s="46" t="s">
        <v>352</v>
      </c>
      <c r="AB14" s="44">
        <v>7088</v>
      </c>
    </row>
    <row r="15" spans="1:31">
      <c r="A15" s="17">
        <f>(Posts!F15+Posts!G15+Posts!H15)</f>
        <v>3122</v>
      </c>
      <c r="B15" s="39">
        <f>('Engagement Analysis'!A15)/Posts!I15</f>
        <v>8.5063484278785892E-2</v>
      </c>
      <c r="D15" s="43"/>
      <c r="E15" s="23"/>
      <c r="G15" s="4"/>
      <c r="H15" s="4"/>
      <c r="X15" s="41">
        <f>LARGE(Posts!$J$2:$J$301,14)</f>
        <v>72428</v>
      </c>
      <c r="Y15" s="41" t="str">
        <f>INDEX(Posts!$L$2:$L$301, MATCH(X15, $X$2:$X$301, 0))</f>
        <v>#NowPlaying</v>
      </c>
      <c r="AA15" s="50" t="s">
        <v>396</v>
      </c>
      <c r="AB15" s="51">
        <f>SUM(AB10:AB14)</f>
        <v>92692</v>
      </c>
    </row>
    <row r="16" spans="1:31">
      <c r="A16" s="17">
        <f>(Posts!F16+Posts!G16+Posts!H16)</f>
        <v>4227</v>
      </c>
      <c r="B16" s="39">
        <f>('Engagement Analysis'!A16)/Posts!I16</f>
        <v>0.11274405206444041</v>
      </c>
      <c r="D16" s="43"/>
      <c r="E16" s="23"/>
      <c r="G16" s="4"/>
      <c r="H16" s="4"/>
      <c r="X16" s="41">
        <f>LARGE(Posts!$J$2:$J$301,15)</f>
        <v>72110</v>
      </c>
      <c r="Y16" s="41" t="str">
        <f>INDEX(Posts!$L$2:$L$301, MATCH(X16, $X$2:$X$301, 0))</f>
        <v>#NowPlaying</v>
      </c>
    </row>
    <row r="17" spans="1:28">
      <c r="A17" s="17">
        <f>(Posts!F17+Posts!G17+Posts!H17)</f>
        <v>4520</v>
      </c>
      <c r="B17" s="39">
        <f>('Engagement Analysis'!A17)/Posts!I17</f>
        <v>9.3810966751068869E-2</v>
      </c>
      <c r="D17" s="43"/>
      <c r="E17" s="23"/>
      <c r="G17" s="4"/>
      <c r="H17" s="4"/>
      <c r="X17" s="23"/>
      <c r="Y17" s="23"/>
      <c r="AA17" s="205" t="s">
        <v>461</v>
      </c>
      <c r="AB17" s="205"/>
    </row>
    <row r="18" spans="1:28" ht="43.2">
      <c r="A18" s="17">
        <f>(Posts!F18+Posts!G18+Posts!H18)</f>
        <v>1953</v>
      </c>
      <c r="B18" s="39">
        <f>('Engagement Analysis'!A18)/Posts!I18</f>
        <v>4.7214969538729328E-2</v>
      </c>
      <c r="D18" s="43"/>
      <c r="E18" s="23"/>
      <c r="G18" s="4"/>
      <c r="H18" s="4"/>
      <c r="X18" s="25" t="s">
        <v>384</v>
      </c>
      <c r="Y18" s="25" t="s">
        <v>383</v>
      </c>
      <c r="AA18" s="205"/>
      <c r="AB18" s="205"/>
    </row>
    <row r="19" spans="1:28">
      <c r="A19" s="17">
        <f>(Posts!F19+Posts!G19+Posts!H19)</f>
        <v>4545</v>
      </c>
      <c r="B19" s="39">
        <f>('Engagement Analysis'!A19)/Posts!I19</f>
        <v>0.1408079806679472</v>
      </c>
      <c r="D19" s="43"/>
      <c r="E19" s="23"/>
      <c r="G19" s="4"/>
      <c r="H19" s="4"/>
      <c r="X19" s="23"/>
      <c r="Y19" s="23"/>
    </row>
    <row r="20" spans="1:28" ht="15.6" customHeight="1">
      <c r="A20" s="17">
        <f>(Posts!F20+Posts!G20+Posts!H20)</f>
        <v>2045</v>
      </c>
      <c r="B20" s="39">
        <f>('Engagement Analysis'!A20)/Posts!I20</f>
        <v>6.4255640042732362E-2</v>
      </c>
      <c r="D20" s="43"/>
      <c r="E20" s="23"/>
      <c r="G20" s="4"/>
      <c r="H20" s="4"/>
      <c r="X20" s="199" t="s">
        <v>400</v>
      </c>
      <c r="Y20" s="200"/>
    </row>
    <row r="21" spans="1:28">
      <c r="A21" s="17">
        <f>(Posts!F21+Posts!G21+Posts!H21)</f>
        <v>4472</v>
      </c>
      <c r="B21" s="39">
        <f>('Engagement Analysis'!A21)/Posts!I21</f>
        <v>0.15347655981879332</v>
      </c>
      <c r="D21" s="43"/>
      <c r="E21" s="23"/>
      <c r="G21" s="4"/>
      <c r="H21" s="4"/>
      <c r="X21" s="201"/>
      <c r="Y21" s="202"/>
    </row>
    <row r="22" spans="1:28">
      <c r="A22" s="17">
        <f>(Posts!F22+Posts!G22+Posts!H22)</f>
        <v>2424</v>
      </c>
      <c r="B22" s="39">
        <f>('Engagement Analysis'!A22)/Posts!I22</f>
        <v>4.3543867212761371E-2</v>
      </c>
      <c r="D22" s="43"/>
      <c r="E22" s="23"/>
      <c r="G22" s="4"/>
      <c r="H22" s="4"/>
      <c r="X22" s="203"/>
      <c r="Y22" s="204"/>
    </row>
    <row r="23" spans="1:28">
      <c r="A23" s="17">
        <f>(Posts!F23+Posts!G23+Posts!H23)</f>
        <v>5595</v>
      </c>
      <c r="B23" s="39">
        <f>('Engagement Analysis'!A23)/Posts!I23</f>
        <v>0.19548583208133888</v>
      </c>
      <c r="D23" s="43"/>
      <c r="E23" s="23"/>
      <c r="G23" s="4"/>
      <c r="H23" s="4"/>
      <c r="X23" s="23"/>
      <c r="Y23" s="23"/>
    </row>
    <row r="24" spans="1:28">
      <c r="A24" s="17">
        <f>(Posts!F24+Posts!G24+Posts!H24)</f>
        <v>3362</v>
      </c>
      <c r="B24" s="39">
        <f>('Engagement Analysis'!A24)/Posts!I24</f>
        <v>8.0047619047619048E-2</v>
      </c>
      <c r="D24" s="43"/>
      <c r="E24" s="23"/>
      <c r="G24" s="4"/>
      <c r="H24" s="4"/>
      <c r="X24" s="23"/>
      <c r="Y24" s="23"/>
    </row>
    <row r="25" spans="1:28">
      <c r="A25" s="17">
        <f>(Posts!F25+Posts!G25+Posts!H25)</f>
        <v>3166</v>
      </c>
      <c r="B25" s="39">
        <f>('Engagement Analysis'!A25)/Posts!I25</f>
        <v>0.11026748397882419</v>
      </c>
      <c r="D25" s="43"/>
      <c r="E25" s="23"/>
      <c r="G25" s="4"/>
      <c r="H25" s="4"/>
      <c r="X25" s="23"/>
      <c r="Y25" s="23"/>
    </row>
    <row r="26" spans="1:28">
      <c r="A26" s="17">
        <f>(Posts!F26+Posts!G26+Posts!H26)</f>
        <v>4425</v>
      </c>
      <c r="B26" s="39">
        <f>('Engagement Analysis'!A26)/Posts!I26</f>
        <v>8.1036535115831879E-2</v>
      </c>
      <c r="D26" s="43"/>
      <c r="E26" s="23"/>
      <c r="G26" s="4"/>
      <c r="H26" s="4"/>
      <c r="X26" s="23"/>
      <c r="Y26" s="23"/>
    </row>
    <row r="27" spans="1:28">
      <c r="A27" s="17">
        <f>(Posts!F27+Posts!G27+Posts!H27)</f>
        <v>2861</v>
      </c>
      <c r="B27" s="39">
        <f>('Engagement Analysis'!A27)/Posts!I27</f>
        <v>5.173411449857148E-2</v>
      </c>
      <c r="D27" s="43"/>
      <c r="E27" s="23"/>
      <c r="G27" s="4"/>
      <c r="H27" s="4"/>
      <c r="X27" s="23"/>
      <c r="Y27" s="23"/>
    </row>
    <row r="28" spans="1:28">
      <c r="A28" s="17">
        <f>(Posts!F28+Posts!G28+Posts!H28)</f>
        <v>3523</v>
      </c>
      <c r="B28" s="39">
        <f>('Engagement Analysis'!A28)/Posts!I28</f>
        <v>0.11363049929041415</v>
      </c>
      <c r="D28" s="43"/>
      <c r="E28" s="23"/>
      <c r="G28" s="4"/>
      <c r="H28" s="4"/>
      <c r="X28" s="23"/>
      <c r="Y28" s="23"/>
    </row>
    <row r="29" spans="1:28">
      <c r="A29" s="17">
        <f>(Posts!F29+Posts!G29+Posts!H29)</f>
        <v>4071</v>
      </c>
      <c r="B29" s="39">
        <f>('Engagement Analysis'!A29)/Posts!I29</f>
        <v>8.205676046117874E-2</v>
      </c>
      <c r="D29" s="43"/>
      <c r="E29" s="23"/>
      <c r="G29" s="4"/>
      <c r="H29" s="4"/>
      <c r="X29" s="23"/>
      <c r="Y29" s="23"/>
    </row>
    <row r="30" spans="1:28">
      <c r="A30" s="17">
        <f>(Posts!F30+Posts!G30+Posts!H30)</f>
        <v>3993</v>
      </c>
      <c r="B30" s="39">
        <f>('Engagement Analysis'!A30)/Posts!I30</f>
        <v>6.9526910553533799E-2</v>
      </c>
      <c r="D30" s="43"/>
      <c r="E30" s="23"/>
      <c r="G30" s="4"/>
      <c r="H30" s="4"/>
      <c r="X30" s="23"/>
      <c r="Y30" s="23"/>
    </row>
    <row r="31" spans="1:28">
      <c r="A31" s="17">
        <f>(Posts!F31+Posts!G31+Posts!H31)</f>
        <v>2773</v>
      </c>
      <c r="B31" s="39">
        <f>('Engagement Analysis'!A31)/Posts!I31</f>
        <v>0.10399399962497656</v>
      </c>
      <c r="D31" s="43"/>
      <c r="E31" s="23"/>
      <c r="G31" s="4"/>
      <c r="H31" s="4"/>
      <c r="X31" s="23"/>
      <c r="Y31" s="23"/>
    </row>
    <row r="32" spans="1:28">
      <c r="A32" s="17">
        <f>(Posts!F32+Posts!G32+Posts!H32)</f>
        <v>4530</v>
      </c>
      <c r="B32" s="39">
        <f>('Engagement Analysis'!A32)/Posts!I32</f>
        <v>8.0484684812735408E-2</v>
      </c>
      <c r="D32" s="43"/>
      <c r="E32" s="23"/>
      <c r="G32" s="4"/>
      <c r="H32" s="4"/>
      <c r="X32" s="23"/>
      <c r="Y32" s="23"/>
    </row>
    <row r="33" spans="1:25">
      <c r="A33" s="17">
        <f>(Posts!F33+Posts!G33+Posts!H33)</f>
        <v>3261</v>
      </c>
      <c r="B33" s="39">
        <f>('Engagement Analysis'!A33)/Posts!I33</f>
        <v>7.519889311656866E-2</v>
      </c>
      <c r="D33" s="43"/>
      <c r="E33" s="23"/>
      <c r="G33" s="4"/>
      <c r="H33" s="4"/>
      <c r="X33" s="23"/>
      <c r="Y33" s="23"/>
    </row>
    <row r="34" spans="1:25">
      <c r="A34" s="17">
        <f>(Posts!F34+Posts!G34+Posts!H34)</f>
        <v>5206</v>
      </c>
      <c r="B34" s="39">
        <f>('Engagement Analysis'!A34)/Posts!I34</f>
        <v>0.16177247444144061</v>
      </c>
      <c r="D34" s="43"/>
      <c r="E34" s="23"/>
      <c r="G34" s="4"/>
      <c r="H34" s="4"/>
      <c r="X34" s="23"/>
      <c r="Y34" s="23"/>
    </row>
    <row r="35" spans="1:25">
      <c r="A35" s="17">
        <f>(Posts!F35+Posts!G35+Posts!H35)</f>
        <v>1689</v>
      </c>
      <c r="B35" s="39">
        <f>('Engagement Analysis'!A35)/Posts!I35</f>
        <v>4.4299315445747112E-2</v>
      </c>
      <c r="D35" s="43"/>
      <c r="E35" s="23"/>
      <c r="G35" s="4"/>
      <c r="H35" s="4"/>
      <c r="X35" s="23"/>
      <c r="Y35" s="23"/>
    </row>
    <row r="36" spans="1:25">
      <c r="A36" s="17">
        <f>(Posts!F36+Posts!G36+Posts!H36)</f>
        <v>3916</v>
      </c>
      <c r="B36" s="39">
        <f>('Engagement Analysis'!A36)/Posts!I36</f>
        <v>9.7668038408779148E-2</v>
      </c>
      <c r="D36" s="43"/>
      <c r="E36" s="23"/>
      <c r="G36" s="4"/>
      <c r="H36" s="4"/>
      <c r="X36" s="23"/>
      <c r="Y36" s="23"/>
    </row>
    <row r="37" spans="1:25">
      <c r="A37" s="17">
        <f>(Posts!F37+Posts!G37+Posts!H37)</f>
        <v>2739</v>
      </c>
      <c r="B37" s="39">
        <f>('Engagement Analysis'!A37)/Posts!I37</f>
        <v>6.3600055728416843E-2</v>
      </c>
      <c r="D37" s="43"/>
      <c r="E37" s="23"/>
      <c r="G37" s="4"/>
      <c r="H37" s="4"/>
      <c r="X37" s="23"/>
      <c r="Y37" s="23"/>
    </row>
    <row r="38" spans="1:25">
      <c r="A38" s="17">
        <f>(Posts!F38+Posts!G38+Posts!H38)</f>
        <v>4880</v>
      </c>
      <c r="B38" s="39">
        <f>('Engagement Analysis'!A38)/Posts!I38</f>
        <v>0.10772626931567329</v>
      </c>
      <c r="D38" s="43"/>
      <c r="E38" s="23"/>
      <c r="G38" s="4"/>
      <c r="H38" s="4"/>
      <c r="X38" s="23"/>
      <c r="Y38" s="23"/>
    </row>
    <row r="39" spans="1:25">
      <c r="A39" s="17">
        <f>(Posts!F39+Posts!G39+Posts!H39)</f>
        <v>1746</v>
      </c>
      <c r="B39" s="39">
        <f>('Engagement Analysis'!A39)/Posts!I39</f>
        <v>3.9122543637545096E-2</v>
      </c>
      <c r="D39" s="43"/>
      <c r="E39" s="23"/>
      <c r="G39" s="4"/>
      <c r="H39" s="4"/>
      <c r="X39" s="23"/>
      <c r="Y39" s="23"/>
    </row>
    <row r="40" spans="1:25">
      <c r="A40" s="17">
        <f>(Posts!F40+Posts!G40+Posts!H40)</f>
        <v>2051</v>
      </c>
      <c r="B40" s="39">
        <f>('Engagement Analysis'!A40)/Posts!I40</f>
        <v>3.9913595142645857E-2</v>
      </c>
      <c r="D40" s="43"/>
      <c r="E40" s="23"/>
      <c r="G40" s="4"/>
      <c r="H40" s="4"/>
      <c r="X40" s="23"/>
      <c r="Y40" s="23"/>
    </row>
    <row r="41" spans="1:25">
      <c r="A41" s="17">
        <f>(Posts!F41+Posts!G41+Posts!H41)</f>
        <v>3969</v>
      </c>
      <c r="B41" s="39">
        <f>('Engagement Analysis'!A41)/Posts!I41</f>
        <v>0.14436927106067218</v>
      </c>
      <c r="D41" s="43"/>
      <c r="E41" s="23"/>
      <c r="G41" s="4"/>
      <c r="H41" s="4"/>
      <c r="X41" s="23"/>
      <c r="Y41" s="23"/>
    </row>
    <row r="42" spans="1:25">
      <c r="A42" s="17">
        <f>(Posts!F42+Posts!G42+Posts!H42)</f>
        <v>4483</v>
      </c>
      <c r="B42" s="39">
        <f>('Engagement Analysis'!A42)/Posts!I42</f>
        <v>0.10863928268508422</v>
      </c>
      <c r="D42" s="43"/>
      <c r="E42" s="23"/>
      <c r="G42" s="4"/>
      <c r="H42" s="4"/>
      <c r="X42" s="23"/>
      <c r="Y42" s="23"/>
    </row>
    <row r="43" spans="1:25">
      <c r="A43" s="17">
        <f>(Posts!F43+Posts!G43+Posts!H43)</f>
        <v>4207</v>
      </c>
      <c r="B43" s="39">
        <f>('Engagement Analysis'!A43)/Posts!I43</f>
        <v>9.379528682585335E-2</v>
      </c>
      <c r="D43" s="43"/>
      <c r="E43" s="23"/>
      <c r="G43" s="4"/>
      <c r="H43" s="4"/>
      <c r="X43" s="23"/>
      <c r="Y43" s="23"/>
    </row>
    <row r="44" spans="1:25">
      <c r="A44" s="17">
        <f>(Posts!F44+Posts!G44+Posts!H44)</f>
        <v>5728</v>
      </c>
      <c r="B44" s="39">
        <f>('Engagement Analysis'!A44)/Posts!I44</f>
        <v>0.11750707750379519</v>
      </c>
      <c r="D44" s="43"/>
      <c r="E44" s="23"/>
      <c r="G44" s="4"/>
      <c r="H44" s="4"/>
      <c r="X44" s="23"/>
      <c r="Y44" s="23"/>
    </row>
    <row r="45" spans="1:25">
      <c r="A45" s="17">
        <f>(Posts!F45+Posts!G45+Posts!H45)</f>
        <v>2059</v>
      </c>
      <c r="B45" s="39">
        <f>('Engagement Analysis'!A45)/Posts!I45</f>
        <v>3.9937155714174881E-2</v>
      </c>
      <c r="D45" s="43"/>
      <c r="E45" s="23"/>
      <c r="G45" s="4"/>
      <c r="H45" s="4"/>
      <c r="X45" s="23"/>
      <c r="Y45" s="23"/>
    </row>
    <row r="46" spans="1:25">
      <c r="A46" s="17">
        <f>(Posts!F46+Posts!G46+Posts!H46)</f>
        <v>4198</v>
      </c>
      <c r="B46" s="39">
        <f>('Engagement Analysis'!A46)/Posts!I46</f>
        <v>0.11613367267898639</v>
      </c>
      <c r="D46" s="43"/>
      <c r="E46" s="23"/>
      <c r="G46" s="4"/>
      <c r="H46" s="4"/>
      <c r="X46" s="23"/>
      <c r="Y46" s="23"/>
    </row>
    <row r="47" spans="1:25">
      <c r="A47" s="17">
        <f>(Posts!F47+Posts!G47+Posts!H47)</f>
        <v>3503</v>
      </c>
      <c r="B47" s="39">
        <f>('Engagement Analysis'!A47)/Posts!I47</f>
        <v>0.14600091693410577</v>
      </c>
      <c r="D47" s="43"/>
      <c r="E47" s="23"/>
      <c r="G47" s="4"/>
      <c r="H47" s="4"/>
      <c r="X47" s="23"/>
      <c r="Y47" s="23"/>
    </row>
    <row r="48" spans="1:25">
      <c r="A48" s="17">
        <f>(Posts!F48+Posts!G48+Posts!H48)</f>
        <v>3907</v>
      </c>
      <c r="B48" s="39">
        <f>('Engagement Analysis'!A48)/Posts!I48</f>
        <v>9.8072192379135503E-2</v>
      </c>
      <c r="D48" s="43"/>
      <c r="E48" s="23"/>
      <c r="G48" s="4"/>
      <c r="H48" s="4"/>
      <c r="X48" s="23"/>
      <c r="Y48" s="23"/>
    </row>
    <row r="49" spans="1:25">
      <c r="A49" s="17">
        <f>(Posts!F49+Posts!G49+Posts!H49)</f>
        <v>3793</v>
      </c>
      <c r="B49" s="39">
        <f>('Engagement Analysis'!A49)/Posts!I49</f>
        <v>0.15735977431131762</v>
      </c>
      <c r="D49" s="43"/>
      <c r="E49" s="23"/>
      <c r="G49" s="4"/>
      <c r="H49" s="4"/>
      <c r="X49" s="23"/>
      <c r="Y49" s="23"/>
    </row>
    <row r="50" spans="1:25">
      <c r="A50" s="17">
        <f>(Posts!F50+Posts!G50+Posts!H50)</f>
        <v>4726</v>
      </c>
      <c r="B50" s="39">
        <f>('Engagement Analysis'!A50)/Posts!I50</f>
        <v>0.1087862256289851</v>
      </c>
      <c r="D50" s="43"/>
      <c r="E50" s="23"/>
      <c r="G50" s="4"/>
      <c r="H50" s="4"/>
      <c r="X50" s="23"/>
      <c r="Y50" s="23"/>
    </row>
    <row r="51" spans="1:25">
      <c r="A51" s="17">
        <f>(Posts!F51+Posts!G51+Posts!H51)</f>
        <v>5038</v>
      </c>
      <c r="B51" s="39">
        <f>('Engagement Analysis'!A51)/Posts!I51</f>
        <v>0.20241060666934513</v>
      </c>
      <c r="D51" s="43"/>
      <c r="E51" s="23"/>
      <c r="G51" s="4"/>
      <c r="H51" s="4"/>
      <c r="X51" s="23"/>
      <c r="Y51" s="23"/>
    </row>
    <row r="52" spans="1:25">
      <c r="A52" s="17">
        <f>(Posts!F52+Posts!G52+Posts!H52)</f>
        <v>4703</v>
      </c>
      <c r="B52" s="39">
        <f>('Engagement Analysis'!A52)/Posts!I52</f>
        <v>0.10249760265016128</v>
      </c>
      <c r="D52" s="43"/>
      <c r="E52" s="23"/>
      <c r="G52" s="4"/>
      <c r="H52" s="4"/>
      <c r="X52" s="23"/>
      <c r="Y52" s="23"/>
    </row>
    <row r="53" spans="1:25">
      <c r="A53" s="17">
        <f>(Posts!F53+Posts!G53+Posts!H53)</f>
        <v>3296</v>
      </c>
      <c r="B53" s="39">
        <f>('Engagement Analysis'!A53)/Posts!I53</f>
        <v>0.15227535227535227</v>
      </c>
      <c r="D53" s="43"/>
      <c r="E53" s="23"/>
      <c r="G53" s="4"/>
      <c r="H53" s="4"/>
      <c r="X53" s="23"/>
      <c r="Y53" s="23"/>
    </row>
    <row r="54" spans="1:25">
      <c r="A54" s="17">
        <f>(Posts!F54+Posts!G54+Posts!H54)</f>
        <v>3386</v>
      </c>
      <c r="B54" s="39">
        <f>('Engagement Analysis'!A54)/Posts!I54</f>
        <v>5.8723551855705859E-2</v>
      </c>
      <c r="D54" s="43"/>
      <c r="E54" s="23"/>
      <c r="G54" s="4"/>
      <c r="H54" s="4"/>
      <c r="X54" s="23"/>
      <c r="Y54" s="23"/>
    </row>
    <row r="55" spans="1:25">
      <c r="A55" s="17">
        <f>(Posts!F55+Posts!G55+Posts!H55)</f>
        <v>5523</v>
      </c>
      <c r="B55" s="39">
        <f>('Engagement Analysis'!A55)/Posts!I55</f>
        <v>9.5101162290142052E-2</v>
      </c>
      <c r="D55" s="43"/>
      <c r="E55" s="23"/>
      <c r="G55" s="4"/>
      <c r="H55" s="4"/>
      <c r="X55" s="23"/>
      <c r="Y55" s="23"/>
    </row>
    <row r="56" spans="1:25">
      <c r="A56" s="17">
        <f>(Posts!F56+Posts!G56+Posts!H56)</f>
        <v>2492</v>
      </c>
      <c r="B56" s="39">
        <f>('Engagement Analysis'!A56)/Posts!I56</f>
        <v>4.781732706514439E-2</v>
      </c>
      <c r="D56" s="43"/>
      <c r="E56" s="23"/>
      <c r="G56" s="4"/>
      <c r="H56" s="4"/>
      <c r="X56" s="23"/>
      <c r="Y56" s="23"/>
    </row>
    <row r="57" spans="1:25">
      <c r="A57" s="17">
        <f>(Posts!F57+Posts!G57+Posts!H57)</f>
        <v>3253</v>
      </c>
      <c r="B57" s="39">
        <f>('Engagement Analysis'!A57)/Posts!I57</f>
        <v>0.13885094758408742</v>
      </c>
      <c r="D57" s="43"/>
      <c r="E57" s="23"/>
      <c r="G57" s="4"/>
      <c r="H57" s="4"/>
      <c r="X57" s="23"/>
      <c r="Y57" s="23"/>
    </row>
    <row r="58" spans="1:25">
      <c r="A58" s="17">
        <f>(Posts!F58+Posts!G58+Posts!H58)</f>
        <v>3311</v>
      </c>
      <c r="B58" s="39">
        <f>('Engagement Analysis'!A58)/Posts!I58</f>
        <v>0.10600966926007749</v>
      </c>
      <c r="D58" s="43"/>
      <c r="E58" s="23"/>
      <c r="G58" s="4"/>
      <c r="H58" s="4"/>
      <c r="X58" s="23"/>
      <c r="Y58" s="23"/>
    </row>
    <row r="59" spans="1:25">
      <c r="A59" s="17">
        <f>(Posts!F59+Posts!G59+Posts!H59)</f>
        <v>3460</v>
      </c>
      <c r="B59" s="39">
        <f>('Engagement Analysis'!A59)/Posts!I59</f>
        <v>8.8283323127168814E-2</v>
      </c>
      <c r="D59" s="43"/>
      <c r="E59" s="23"/>
      <c r="G59" s="4"/>
      <c r="H59" s="4"/>
      <c r="X59" s="23"/>
      <c r="Y59" s="23"/>
    </row>
    <row r="60" spans="1:25">
      <c r="A60" s="17">
        <f>(Posts!F60+Posts!G60+Posts!H60)</f>
        <v>1341</v>
      </c>
      <c r="B60" s="39">
        <f>('Engagement Analysis'!A60)/Posts!I60</f>
        <v>2.50275284149232E-2</v>
      </c>
      <c r="D60" s="43"/>
      <c r="E60" s="23"/>
      <c r="G60" s="4"/>
      <c r="H60" s="4"/>
      <c r="X60" s="23"/>
      <c r="Y60" s="23"/>
    </row>
    <row r="61" spans="1:25">
      <c r="A61" s="17">
        <f>(Posts!F61+Posts!G61+Posts!H61)</f>
        <v>5062</v>
      </c>
      <c r="B61" s="39">
        <f>('Engagement Analysis'!A61)/Posts!I61</f>
        <v>0.11124541239039185</v>
      </c>
      <c r="D61" s="43"/>
      <c r="E61" s="23"/>
      <c r="G61" s="4"/>
      <c r="H61" s="4"/>
      <c r="X61" s="23"/>
      <c r="Y61" s="23"/>
    </row>
    <row r="62" spans="1:25">
      <c r="A62" s="17">
        <f>(Posts!F62+Posts!G62+Posts!H62)</f>
        <v>3925</v>
      </c>
      <c r="B62" s="39">
        <f>('Engagement Analysis'!A62)/Posts!I62</f>
        <v>8.8087436599488311E-2</v>
      </c>
      <c r="D62" s="43"/>
      <c r="E62" s="23"/>
      <c r="G62" s="4"/>
      <c r="H62" s="4"/>
      <c r="X62" s="23"/>
      <c r="Y62" s="23"/>
    </row>
    <row r="63" spans="1:25">
      <c r="A63" s="17">
        <f>(Posts!F63+Posts!G63+Posts!H63)</f>
        <v>2357</v>
      </c>
      <c r="B63" s="39">
        <f>('Engagement Analysis'!A63)/Posts!I63</f>
        <v>4.3619068768968837E-2</v>
      </c>
      <c r="D63" s="43"/>
      <c r="E63" s="23"/>
      <c r="G63" s="4"/>
      <c r="H63" s="4"/>
      <c r="X63" s="23"/>
      <c r="Y63" s="23"/>
    </row>
    <row r="64" spans="1:25">
      <c r="A64" s="17">
        <f>(Posts!F64+Posts!G64+Posts!H64)</f>
        <v>1356</v>
      </c>
      <c r="B64" s="39">
        <f>('Engagement Analysis'!A64)/Posts!I64</f>
        <v>3.6351938233874857E-2</v>
      </c>
      <c r="D64" s="43"/>
      <c r="E64" s="23"/>
      <c r="G64" s="4"/>
      <c r="H64" s="4"/>
      <c r="X64" s="23"/>
      <c r="Y64" s="23"/>
    </row>
    <row r="65" spans="1:25">
      <c r="A65" s="17">
        <f>(Posts!F65+Posts!G65+Posts!H65)</f>
        <v>4700</v>
      </c>
      <c r="B65" s="39">
        <f>('Engagement Analysis'!A65)/Posts!I65</f>
        <v>9.2093661212893113E-2</v>
      </c>
      <c r="D65" s="43"/>
      <c r="E65" s="23"/>
      <c r="G65" s="4"/>
      <c r="H65" s="4"/>
      <c r="X65" s="23"/>
      <c r="Y65" s="23"/>
    </row>
    <row r="66" spans="1:25">
      <c r="A66" s="17">
        <f>(Posts!F66+Posts!G66+Posts!H66)</f>
        <v>1925</v>
      </c>
      <c r="B66" s="39">
        <f>('Engagement Analysis'!A66)/Posts!I66</f>
        <v>3.5777344113000653E-2</v>
      </c>
      <c r="D66" s="43"/>
      <c r="E66" s="23"/>
      <c r="G66" s="4"/>
      <c r="H66" s="4"/>
      <c r="X66" s="23"/>
      <c r="Y66" s="23"/>
    </row>
    <row r="67" spans="1:25">
      <c r="A67" s="17">
        <f>(Posts!F67+Posts!G67+Posts!H67)</f>
        <v>5307</v>
      </c>
      <c r="B67" s="39">
        <f>('Engagement Analysis'!A67)/Posts!I67</f>
        <v>9.0267383317458164E-2</v>
      </c>
      <c r="D67" s="43"/>
      <c r="E67" s="23"/>
      <c r="G67" s="4"/>
      <c r="H67" s="4"/>
      <c r="X67" s="23"/>
      <c r="Y67" s="23"/>
    </row>
    <row r="68" spans="1:25">
      <c r="A68" s="17">
        <f>(Posts!F68+Posts!G68+Posts!H68)</f>
        <v>5407</v>
      </c>
      <c r="B68" s="39">
        <f>('Engagement Analysis'!A68)/Posts!I68</f>
        <v>0.17658969920637513</v>
      </c>
      <c r="D68" s="43"/>
      <c r="E68" s="23"/>
      <c r="G68" s="4"/>
      <c r="H68" s="4"/>
      <c r="X68" s="23"/>
      <c r="Y68" s="23"/>
    </row>
    <row r="69" spans="1:25">
      <c r="A69" s="17">
        <f>(Posts!F69+Posts!G69+Posts!H69)</f>
        <v>3811</v>
      </c>
      <c r="B69" s="39">
        <f>('Engagement Analysis'!A69)/Posts!I69</f>
        <v>0.18517978620019437</v>
      </c>
      <c r="D69" s="43"/>
      <c r="E69" s="23"/>
      <c r="G69" s="4"/>
      <c r="H69" s="4"/>
      <c r="X69" s="23"/>
      <c r="Y69" s="23"/>
    </row>
    <row r="70" spans="1:25">
      <c r="A70" s="17">
        <f>(Posts!F70+Posts!G70+Posts!H70)</f>
        <v>2074</v>
      </c>
      <c r="B70" s="39">
        <f>('Engagement Analysis'!A70)/Posts!I70</f>
        <v>4.6406515707509172E-2</v>
      </c>
      <c r="D70" s="43"/>
      <c r="E70" s="23"/>
      <c r="G70" s="4"/>
      <c r="H70" s="4"/>
      <c r="X70" s="23"/>
      <c r="Y70" s="23"/>
    </row>
    <row r="71" spans="1:25">
      <c r="A71" s="17">
        <f>(Posts!F71+Posts!G71+Posts!H71)</f>
        <v>5538</v>
      </c>
      <c r="B71" s="39">
        <f>('Engagement Analysis'!A71)/Posts!I71</f>
        <v>0.10657378184897237</v>
      </c>
      <c r="D71" s="43"/>
      <c r="E71" s="23"/>
      <c r="G71" s="4"/>
      <c r="H71" s="4"/>
      <c r="X71" s="23"/>
      <c r="Y71" s="23"/>
    </row>
    <row r="72" spans="1:25">
      <c r="A72" s="17">
        <f>(Posts!F72+Posts!G72+Posts!H72)</f>
        <v>4648</v>
      </c>
      <c r="B72" s="39">
        <f>('Engagement Analysis'!A72)/Posts!I72</f>
        <v>0.1607525766064882</v>
      </c>
      <c r="D72" s="43"/>
      <c r="E72" s="23"/>
      <c r="G72" s="4"/>
      <c r="H72" s="4"/>
      <c r="X72" s="23"/>
      <c r="Y72" s="23"/>
    </row>
    <row r="73" spans="1:25">
      <c r="A73" s="17">
        <f>(Posts!F73+Posts!G73+Posts!H73)</f>
        <v>1661</v>
      </c>
      <c r="B73" s="39">
        <f>('Engagement Analysis'!A73)/Posts!I73</f>
        <v>8.1549489395129612E-2</v>
      </c>
      <c r="D73" s="43"/>
      <c r="E73" s="23"/>
      <c r="G73" s="4"/>
      <c r="H73" s="4"/>
      <c r="X73" s="23"/>
      <c r="Y73" s="23"/>
    </row>
    <row r="74" spans="1:25">
      <c r="A74" s="17">
        <f>(Posts!F74+Posts!G74+Posts!H74)</f>
        <v>1901</v>
      </c>
      <c r="B74" s="39">
        <f>('Engagement Analysis'!A74)/Posts!I74</f>
        <v>5.2042268944371438E-2</v>
      </c>
      <c r="D74" s="43"/>
      <c r="E74" s="23"/>
      <c r="G74" s="4"/>
      <c r="H74" s="4"/>
      <c r="X74" s="23"/>
      <c r="Y74" s="23"/>
    </row>
    <row r="75" spans="1:25">
      <c r="A75" s="17">
        <f>(Posts!F75+Posts!G75+Posts!H75)</f>
        <v>2156</v>
      </c>
      <c r="B75" s="39">
        <f>('Engagement Analysis'!A75)/Posts!I75</f>
        <v>4.0418432004799221E-2</v>
      </c>
      <c r="D75" s="43"/>
      <c r="E75" s="23"/>
      <c r="G75" s="4"/>
      <c r="H75" s="4"/>
      <c r="X75" s="23"/>
      <c r="Y75" s="23"/>
    </row>
    <row r="76" spans="1:25">
      <c r="A76" s="17">
        <f>(Posts!F76+Posts!G76+Posts!H76)</f>
        <v>2167</v>
      </c>
      <c r="B76" s="39">
        <f>('Engagement Analysis'!A76)/Posts!I76</f>
        <v>5.1660428636136076E-2</v>
      </c>
      <c r="D76" s="43"/>
      <c r="E76" s="23"/>
      <c r="G76" s="4"/>
      <c r="H76" s="4"/>
      <c r="X76" s="23"/>
      <c r="Y76" s="23"/>
    </row>
    <row r="77" spans="1:25">
      <c r="A77" s="17">
        <f>(Posts!F77+Posts!G77+Posts!H77)</f>
        <v>2943</v>
      </c>
      <c r="B77" s="39">
        <f>('Engagement Analysis'!A77)/Posts!I77</f>
        <v>7.611534979956032E-2</v>
      </c>
      <c r="D77" s="43"/>
      <c r="E77" s="23"/>
      <c r="G77" s="4"/>
      <c r="H77" s="4"/>
      <c r="X77" s="23"/>
      <c r="Y77" s="23"/>
    </row>
    <row r="78" spans="1:25">
      <c r="A78" s="17">
        <f>(Posts!F78+Posts!G78+Posts!H78)</f>
        <v>2939</v>
      </c>
      <c r="B78" s="39">
        <f>('Engagement Analysis'!A78)/Posts!I78</f>
        <v>9.6080290300434801E-2</v>
      </c>
      <c r="D78" s="43"/>
      <c r="E78" s="23"/>
      <c r="G78" s="4"/>
      <c r="H78" s="4"/>
      <c r="X78" s="23"/>
      <c r="Y78" s="23"/>
    </row>
    <row r="79" spans="1:25">
      <c r="A79" s="17">
        <f>(Posts!F79+Posts!G79+Posts!H79)</f>
        <v>3043</v>
      </c>
      <c r="B79" s="39">
        <f>('Engagement Analysis'!A79)/Posts!I79</f>
        <v>0.13476527900797167</v>
      </c>
      <c r="D79" s="43"/>
      <c r="E79" s="23"/>
      <c r="G79" s="4"/>
      <c r="H79" s="4"/>
      <c r="X79" s="23"/>
      <c r="Y79" s="23"/>
    </row>
    <row r="80" spans="1:25">
      <c r="A80" s="17">
        <f>(Posts!F80+Posts!G80+Posts!H80)</f>
        <v>5094</v>
      </c>
      <c r="B80" s="39">
        <f>('Engagement Analysis'!A80)/Posts!I80</f>
        <v>0.14335162515829464</v>
      </c>
      <c r="D80" s="43"/>
      <c r="E80" s="23"/>
      <c r="G80" s="4"/>
      <c r="H80" s="4"/>
      <c r="X80" s="23"/>
      <c r="Y80" s="23"/>
    </row>
    <row r="81" spans="1:25">
      <c r="A81" s="17">
        <f>(Posts!F81+Posts!G81+Posts!H81)</f>
        <v>2731</v>
      </c>
      <c r="B81" s="39">
        <f>('Engagement Analysis'!A81)/Posts!I81</f>
        <v>7.3021390374331557E-2</v>
      </c>
      <c r="D81" s="43"/>
      <c r="E81" s="23"/>
      <c r="G81" s="4"/>
      <c r="H81" s="4"/>
      <c r="X81" s="23"/>
      <c r="Y81" s="23"/>
    </row>
    <row r="82" spans="1:25">
      <c r="A82" s="17">
        <f>(Posts!F82+Posts!G82+Posts!H82)</f>
        <v>4996</v>
      </c>
      <c r="B82" s="39">
        <f>('Engagement Analysis'!A82)/Posts!I82</f>
        <v>8.8232696960599044E-2</v>
      </c>
      <c r="D82" s="43"/>
      <c r="E82" s="23"/>
      <c r="G82" s="4"/>
      <c r="H82" s="4"/>
      <c r="X82" s="23"/>
      <c r="Y82" s="23"/>
    </row>
    <row r="83" spans="1:25">
      <c r="A83" s="17">
        <f>(Posts!F83+Posts!G83+Posts!H83)</f>
        <v>2589</v>
      </c>
      <c r="B83" s="39">
        <f>('Engagement Analysis'!A83)/Posts!I83</f>
        <v>5.9312714776632303E-2</v>
      </c>
      <c r="D83" s="43"/>
      <c r="E83" s="23"/>
      <c r="G83" s="4"/>
      <c r="H83" s="4"/>
      <c r="X83" s="23"/>
      <c r="Y83" s="23"/>
    </row>
    <row r="84" spans="1:25">
      <c r="A84" s="17">
        <f>(Posts!F84+Posts!G84+Posts!H84)</f>
        <v>5087</v>
      </c>
      <c r="B84" s="39">
        <f>('Engagement Analysis'!A84)/Posts!I84</f>
        <v>0.1471166637746544</v>
      </c>
      <c r="D84" s="43"/>
      <c r="E84" s="23"/>
      <c r="G84" s="4"/>
      <c r="H84" s="4"/>
      <c r="X84" s="23"/>
      <c r="Y84" s="23"/>
    </row>
    <row r="85" spans="1:25">
      <c r="A85" s="17">
        <f>(Posts!F85+Posts!G85+Posts!H85)</f>
        <v>4850</v>
      </c>
      <c r="B85" s="39">
        <f>('Engagement Analysis'!A85)/Posts!I85</f>
        <v>0.16283364109451065</v>
      </c>
      <c r="D85" s="43"/>
      <c r="E85" s="23"/>
      <c r="G85" s="4"/>
      <c r="H85" s="4"/>
      <c r="X85" s="23"/>
      <c r="Y85" s="23"/>
    </row>
    <row r="86" spans="1:25">
      <c r="A86" s="17">
        <f>(Posts!F86+Posts!G86+Posts!H86)</f>
        <v>3464</v>
      </c>
      <c r="B86" s="39">
        <f>('Engagement Analysis'!A86)/Posts!I86</f>
        <v>6.0050273034584378E-2</v>
      </c>
      <c r="D86" s="43"/>
      <c r="E86" s="23"/>
      <c r="G86" s="4"/>
      <c r="H86" s="4"/>
      <c r="X86" s="23"/>
      <c r="Y86" s="23"/>
    </row>
    <row r="87" spans="1:25">
      <c r="A87" s="17">
        <f>(Posts!F87+Posts!G87+Posts!H87)</f>
        <v>1606</v>
      </c>
      <c r="B87" s="39">
        <f>('Engagement Analysis'!A87)/Posts!I87</f>
        <v>4.4438295517432211E-2</v>
      </c>
      <c r="D87" s="43"/>
      <c r="E87" s="23"/>
      <c r="G87" s="4"/>
      <c r="H87" s="4"/>
      <c r="X87" s="23"/>
      <c r="Y87" s="23"/>
    </row>
    <row r="88" spans="1:25">
      <c r="A88" s="17">
        <f>(Posts!F88+Posts!G88+Posts!H88)</f>
        <v>3268</v>
      </c>
      <c r="B88" s="39">
        <f>('Engagement Analysis'!A88)/Posts!I88</f>
        <v>6.1158416768035934E-2</v>
      </c>
      <c r="D88" s="43"/>
      <c r="E88" s="23"/>
      <c r="G88" s="4"/>
      <c r="H88" s="4"/>
      <c r="X88" s="23"/>
      <c r="Y88" s="23"/>
    </row>
    <row r="89" spans="1:25">
      <c r="A89" s="17">
        <f>(Posts!F89+Posts!G89+Posts!H89)</f>
        <v>5562</v>
      </c>
      <c r="B89" s="39">
        <f>('Engagement Analysis'!A89)/Posts!I89</f>
        <v>0.18086628511966701</v>
      </c>
      <c r="D89" s="43"/>
      <c r="E89" s="23"/>
      <c r="G89" s="4"/>
      <c r="H89" s="4"/>
      <c r="X89" s="23"/>
      <c r="Y89" s="23"/>
    </row>
    <row r="90" spans="1:25">
      <c r="A90" s="17">
        <f>(Posts!F90+Posts!G90+Posts!H90)</f>
        <v>3197</v>
      </c>
      <c r="B90" s="39">
        <f>('Engagement Analysis'!A90)/Posts!I90</f>
        <v>9.8770390509144837E-2</v>
      </c>
      <c r="D90" s="43"/>
      <c r="E90" s="23"/>
      <c r="G90" s="4"/>
      <c r="H90" s="4"/>
      <c r="X90" s="23"/>
      <c r="Y90" s="23"/>
    </row>
    <row r="91" spans="1:25">
      <c r="A91" s="17">
        <f>(Posts!F91+Posts!G91+Posts!H91)</f>
        <v>3902</v>
      </c>
      <c r="B91" s="39">
        <f>('Engagement Analysis'!A91)/Posts!I91</f>
        <v>0.17642537414658407</v>
      </c>
      <c r="D91" s="43"/>
      <c r="E91" s="23"/>
      <c r="G91" s="4"/>
      <c r="H91" s="4"/>
      <c r="X91" s="23"/>
      <c r="Y91" s="23"/>
    </row>
    <row r="92" spans="1:25">
      <c r="A92" s="17">
        <f>(Posts!F92+Posts!G92+Posts!H92)</f>
        <v>1622</v>
      </c>
      <c r="B92" s="39">
        <f>('Engagement Analysis'!A92)/Posts!I92</f>
        <v>7.8512996756861422E-2</v>
      </c>
      <c r="D92" s="43"/>
      <c r="E92" s="23"/>
      <c r="G92" s="4"/>
      <c r="H92" s="4"/>
      <c r="X92" s="23"/>
      <c r="Y92" s="23"/>
    </row>
    <row r="93" spans="1:25">
      <c r="A93" s="17">
        <f>(Posts!F93+Posts!G93+Posts!H93)</f>
        <v>2418</v>
      </c>
      <c r="B93" s="39">
        <f>('Engagement Analysis'!A93)/Posts!I93</f>
        <v>7.974671020085089E-2</v>
      </c>
      <c r="D93" s="43"/>
      <c r="E93" s="23"/>
      <c r="G93" s="4"/>
      <c r="H93" s="4"/>
      <c r="X93" s="23"/>
      <c r="Y93" s="23"/>
    </row>
    <row r="94" spans="1:25">
      <c r="A94" s="17">
        <f>(Posts!F94+Posts!G94+Posts!H94)</f>
        <v>1641</v>
      </c>
      <c r="B94" s="39">
        <f>('Engagement Analysis'!A94)/Posts!I94</f>
        <v>6.3999063999063993E-2</v>
      </c>
      <c r="D94" s="43"/>
      <c r="E94" s="23"/>
      <c r="G94" s="4"/>
      <c r="H94" s="4"/>
      <c r="X94" s="23"/>
      <c r="Y94" s="23"/>
    </row>
    <row r="95" spans="1:25">
      <c r="A95" s="17">
        <f>(Posts!F95+Posts!G95+Posts!H95)</f>
        <v>5282</v>
      </c>
      <c r="B95" s="39">
        <f>('Engagement Analysis'!A95)/Posts!I95</f>
        <v>0.1439786294499264</v>
      </c>
      <c r="D95" s="43"/>
      <c r="E95" s="23"/>
      <c r="G95" s="4"/>
      <c r="H95" s="4"/>
      <c r="X95" s="23"/>
      <c r="Y95" s="23"/>
    </row>
    <row r="96" spans="1:25">
      <c r="A96" s="17">
        <f>(Posts!F96+Posts!G96+Posts!H96)</f>
        <v>2996</v>
      </c>
      <c r="B96" s="39">
        <f>('Engagement Analysis'!A96)/Posts!I96</f>
        <v>0.14130742382794076</v>
      </c>
      <c r="D96" s="43"/>
      <c r="E96" s="23"/>
      <c r="G96" s="4"/>
      <c r="H96" s="4"/>
      <c r="X96" s="23"/>
      <c r="Y96" s="23"/>
    </row>
    <row r="97" spans="1:25">
      <c r="A97" s="17">
        <f>(Posts!F97+Posts!G97+Posts!H97)</f>
        <v>3277</v>
      </c>
      <c r="B97" s="39">
        <f>('Engagement Analysis'!A97)/Posts!I97</f>
        <v>0.13528464682326713</v>
      </c>
      <c r="D97" s="43"/>
      <c r="E97" s="23"/>
      <c r="G97" s="4"/>
      <c r="H97" s="4"/>
      <c r="X97" s="23"/>
      <c r="Y97" s="23"/>
    </row>
    <row r="98" spans="1:25">
      <c r="A98" s="17">
        <f>(Posts!F98+Posts!G98+Posts!H98)</f>
        <v>4406</v>
      </c>
      <c r="B98" s="39">
        <f>('Engagement Analysis'!A98)/Posts!I98</f>
        <v>0.10550008380623997</v>
      </c>
      <c r="D98" s="43"/>
      <c r="E98" s="23"/>
      <c r="G98" s="4"/>
      <c r="H98" s="4"/>
      <c r="X98" s="23"/>
      <c r="Y98" s="23"/>
    </row>
    <row r="99" spans="1:25">
      <c r="A99" s="17">
        <f>(Posts!F99+Posts!G99+Posts!H99)</f>
        <v>5639</v>
      </c>
      <c r="B99" s="39">
        <f>('Engagement Analysis'!A99)/Posts!I99</f>
        <v>9.4690354648038683E-2</v>
      </c>
      <c r="D99" s="43"/>
      <c r="E99" s="23"/>
      <c r="G99" s="4"/>
      <c r="H99" s="4"/>
      <c r="X99" s="23"/>
      <c r="Y99" s="23"/>
    </row>
    <row r="100" spans="1:25">
      <c r="A100" s="17">
        <f>(Posts!F100+Posts!G100+Posts!H100)</f>
        <v>2821</v>
      </c>
      <c r="B100" s="39">
        <f>('Engagement Analysis'!A100)/Posts!I100</f>
        <v>6.934441139598338E-2</v>
      </c>
      <c r="D100" s="43"/>
      <c r="E100" s="23"/>
      <c r="G100" s="4"/>
      <c r="H100" s="4"/>
      <c r="X100" s="23"/>
      <c r="Y100" s="23"/>
    </row>
    <row r="101" spans="1:25">
      <c r="A101" s="17">
        <f>(Posts!F101+Posts!G101+Posts!H101)</f>
        <v>3637</v>
      </c>
      <c r="B101" s="39">
        <f>('Engagement Analysis'!A101)/Posts!I101</f>
        <v>0.10077583818232197</v>
      </c>
      <c r="D101" s="43"/>
      <c r="E101" s="23"/>
      <c r="G101" s="4"/>
      <c r="H101" s="4"/>
      <c r="X101" s="23"/>
      <c r="Y101" s="23"/>
    </row>
    <row r="102" spans="1:25">
      <c r="A102" s="17">
        <f>(Posts!F102+Posts!G102+Posts!H102)</f>
        <v>3730</v>
      </c>
      <c r="B102" s="39">
        <f>('Engagement Analysis'!A102)/Posts!I102</f>
        <v>8.2866791077934779E-2</v>
      </c>
      <c r="D102" s="43"/>
      <c r="E102" s="23"/>
      <c r="G102" s="4"/>
      <c r="H102" s="4"/>
      <c r="X102" s="23"/>
      <c r="Y102" s="23"/>
    </row>
    <row r="103" spans="1:25">
      <c r="A103" s="17">
        <f>(Posts!F103+Posts!G103+Posts!H103)</f>
        <v>3444</v>
      </c>
      <c r="B103" s="39">
        <f>('Engagement Analysis'!A103)/Posts!I103</f>
        <v>0.14485195154777927</v>
      </c>
      <c r="D103" s="43"/>
      <c r="E103" s="23"/>
      <c r="G103" s="4"/>
      <c r="H103" s="4"/>
      <c r="X103" s="23"/>
      <c r="Y103" s="23"/>
    </row>
    <row r="104" spans="1:25">
      <c r="A104" s="17">
        <f>(Posts!F104+Posts!G104+Posts!H104)</f>
        <v>2123</v>
      </c>
      <c r="B104" s="39">
        <f>('Engagement Analysis'!A104)/Posts!I104</f>
        <v>6.6614370881706936E-2</v>
      </c>
      <c r="D104" s="43"/>
      <c r="E104" s="23"/>
      <c r="G104" s="4"/>
      <c r="H104" s="4"/>
      <c r="X104" s="23"/>
      <c r="Y104" s="23"/>
    </row>
    <row r="105" spans="1:25">
      <c r="A105" s="17">
        <f>(Posts!F105+Posts!G105+Posts!H105)</f>
        <v>3217</v>
      </c>
      <c r="B105" s="39">
        <f>('Engagement Analysis'!A105)/Posts!I105</f>
        <v>8.8705674736667947E-2</v>
      </c>
      <c r="D105" s="43"/>
      <c r="E105" s="23"/>
      <c r="G105" s="4"/>
      <c r="H105" s="4"/>
      <c r="X105" s="23"/>
      <c r="Y105" s="23"/>
    </row>
    <row r="106" spans="1:25">
      <c r="A106" s="17">
        <f>(Posts!F106+Posts!G106+Posts!H106)</f>
        <v>3234</v>
      </c>
      <c r="B106" s="39">
        <f>('Engagement Analysis'!A106)/Posts!I106</f>
        <v>6.2084853138798232E-2</v>
      </c>
      <c r="D106" s="43"/>
      <c r="E106" s="23"/>
      <c r="G106" s="4"/>
      <c r="H106" s="4"/>
      <c r="X106" s="23"/>
      <c r="Y106" s="23"/>
    </row>
    <row r="107" spans="1:25">
      <c r="A107" s="17">
        <f>(Posts!F107+Posts!G107+Posts!H107)</f>
        <v>4948</v>
      </c>
      <c r="B107" s="39">
        <f>('Engagement Analysis'!A107)/Posts!I107</f>
        <v>0.23193025217961938</v>
      </c>
      <c r="D107" s="43"/>
      <c r="E107" s="23"/>
      <c r="G107" s="4"/>
      <c r="H107" s="4"/>
      <c r="X107" s="23"/>
      <c r="Y107" s="23"/>
    </row>
    <row r="108" spans="1:25">
      <c r="A108" s="17">
        <f>(Posts!F108+Posts!G108+Posts!H108)</f>
        <v>4577</v>
      </c>
      <c r="B108" s="39">
        <f>('Engagement Analysis'!A108)/Posts!I108</f>
        <v>8.6598679355949518E-2</v>
      </c>
      <c r="D108" s="43"/>
      <c r="E108" s="23"/>
      <c r="G108" s="4"/>
      <c r="H108" s="4"/>
      <c r="X108" s="23"/>
      <c r="Y108" s="23"/>
    </row>
    <row r="109" spans="1:25">
      <c r="A109" s="17">
        <f>(Posts!F109+Posts!G109+Posts!H109)</f>
        <v>4598</v>
      </c>
      <c r="B109" s="39">
        <f>('Engagement Analysis'!A109)/Posts!I109</f>
        <v>0.10949965468790931</v>
      </c>
      <c r="D109" s="43"/>
      <c r="E109" s="23"/>
      <c r="G109" s="4"/>
      <c r="H109" s="4"/>
      <c r="X109" s="23"/>
      <c r="Y109" s="23"/>
    </row>
    <row r="110" spans="1:25">
      <c r="A110" s="17">
        <f>(Posts!F110+Posts!G110+Posts!H110)</f>
        <v>4874</v>
      </c>
      <c r="B110" s="39">
        <f>('Engagement Analysis'!A110)/Posts!I110</f>
        <v>0.13838335084182732</v>
      </c>
      <c r="D110" s="43"/>
      <c r="E110" s="23"/>
      <c r="G110" s="4"/>
      <c r="H110" s="4"/>
      <c r="X110" s="23"/>
      <c r="Y110" s="23"/>
    </row>
    <row r="111" spans="1:25">
      <c r="A111" s="17">
        <f>(Posts!F111+Posts!G111+Posts!H111)</f>
        <v>4072</v>
      </c>
      <c r="B111" s="39">
        <f>('Engagement Analysis'!A111)/Posts!I111</f>
        <v>0.16033389770445328</v>
      </c>
      <c r="D111" s="43"/>
      <c r="E111" s="23"/>
      <c r="G111" s="4"/>
      <c r="H111" s="4"/>
      <c r="X111" s="23"/>
      <c r="Y111" s="23"/>
    </row>
    <row r="112" spans="1:25">
      <c r="A112" s="17">
        <f>(Posts!F112+Posts!G112+Posts!H112)</f>
        <v>5599</v>
      </c>
      <c r="B112" s="39">
        <f>('Engagement Analysis'!A112)/Posts!I112</f>
        <v>0.16641897515158721</v>
      </c>
      <c r="D112" s="43"/>
      <c r="E112" s="23"/>
      <c r="G112" s="4"/>
      <c r="H112" s="4"/>
      <c r="X112" s="23"/>
      <c r="Y112" s="23"/>
    </row>
    <row r="113" spans="1:25">
      <c r="A113" s="17">
        <f>(Posts!F113+Posts!G113+Posts!H113)</f>
        <v>1917</v>
      </c>
      <c r="B113" s="39">
        <f>('Engagement Analysis'!A113)/Posts!I113</f>
        <v>5.2993862995521647E-2</v>
      </c>
      <c r="D113" s="43"/>
      <c r="E113" s="23"/>
      <c r="G113" s="4"/>
      <c r="H113" s="4"/>
      <c r="X113" s="23"/>
      <c r="Y113" s="23"/>
    </row>
    <row r="114" spans="1:25">
      <c r="A114" s="17">
        <f>(Posts!F114+Posts!G114+Posts!H114)</f>
        <v>2156</v>
      </c>
      <c r="B114" s="39">
        <f>('Engagement Analysis'!A114)/Posts!I114</f>
        <v>3.9674653122814763E-2</v>
      </c>
      <c r="D114" s="43"/>
      <c r="E114" s="23"/>
      <c r="G114" s="4"/>
      <c r="H114" s="4"/>
      <c r="X114" s="23"/>
      <c r="Y114" s="23"/>
    </row>
    <row r="115" spans="1:25">
      <c r="A115" s="17">
        <f>(Posts!F115+Posts!G115+Posts!H115)</f>
        <v>2363</v>
      </c>
      <c r="B115" s="39">
        <f>('Engagement Analysis'!A115)/Posts!I115</f>
        <v>5.1173769923769923E-2</v>
      </c>
      <c r="D115" s="43"/>
      <c r="E115" s="23"/>
      <c r="G115" s="4"/>
      <c r="H115" s="4"/>
      <c r="X115" s="23"/>
      <c r="Y115" s="23"/>
    </row>
    <row r="116" spans="1:25">
      <c r="A116" s="17">
        <f>(Posts!F116+Posts!G116+Posts!H116)</f>
        <v>4997</v>
      </c>
      <c r="B116" s="39">
        <f>('Engagement Analysis'!A116)/Posts!I116</f>
        <v>8.6978468608031198E-2</v>
      </c>
      <c r="D116" s="43"/>
      <c r="E116" s="23"/>
      <c r="G116" s="4"/>
      <c r="H116" s="4"/>
      <c r="X116" s="23"/>
      <c r="Y116" s="23"/>
    </row>
    <row r="117" spans="1:25">
      <c r="A117" s="17">
        <f>(Posts!F117+Posts!G117+Posts!H117)</f>
        <v>1853</v>
      </c>
      <c r="B117" s="39">
        <f>('Engagement Analysis'!A117)/Posts!I117</f>
        <v>4.9881554861634543E-2</v>
      </c>
      <c r="D117" s="43"/>
      <c r="E117" s="23"/>
      <c r="G117" s="4"/>
      <c r="H117" s="4"/>
      <c r="X117" s="23"/>
      <c r="Y117" s="23"/>
    </row>
    <row r="118" spans="1:25">
      <c r="A118" s="17">
        <f>(Posts!F118+Posts!G118+Posts!H118)</f>
        <v>2063</v>
      </c>
      <c r="B118" s="39">
        <f>('Engagement Analysis'!A118)/Posts!I118</f>
        <v>3.4977365592309385E-2</v>
      </c>
      <c r="D118" s="43"/>
      <c r="E118" s="23"/>
      <c r="G118" s="4"/>
      <c r="H118" s="4"/>
      <c r="X118" s="23"/>
      <c r="Y118" s="23"/>
    </row>
    <row r="119" spans="1:25">
      <c r="A119" s="17">
        <f>(Posts!F119+Posts!G119+Posts!H119)</f>
        <v>2246</v>
      </c>
      <c r="B119" s="39">
        <f>('Engagement Analysis'!A119)/Posts!I119</f>
        <v>4.1192869195216787E-2</v>
      </c>
      <c r="D119" s="43"/>
      <c r="E119" s="23"/>
      <c r="G119" s="4"/>
      <c r="H119" s="4"/>
      <c r="X119" s="23"/>
      <c r="Y119" s="23"/>
    </row>
    <row r="120" spans="1:25">
      <c r="A120" s="17">
        <f>(Posts!F120+Posts!G120+Posts!H120)</f>
        <v>2570</v>
      </c>
      <c r="B120" s="39">
        <f>('Engagement Analysis'!A120)/Posts!I120</f>
        <v>5.7963823356939871E-2</v>
      </c>
      <c r="D120" s="43"/>
      <c r="E120" s="23"/>
      <c r="G120" s="4"/>
      <c r="H120" s="4"/>
      <c r="X120" s="23"/>
      <c r="Y120" s="23"/>
    </row>
    <row r="121" spans="1:25">
      <c r="A121" s="17">
        <f>(Posts!F121+Posts!G121+Posts!H121)</f>
        <v>2532</v>
      </c>
      <c r="B121" s="39">
        <f>('Engagement Analysis'!A121)/Posts!I121</f>
        <v>4.7099090384865788E-2</v>
      </c>
      <c r="D121" s="43"/>
      <c r="E121" s="23"/>
      <c r="G121" s="4"/>
      <c r="H121" s="4"/>
      <c r="X121" s="23"/>
      <c r="Y121" s="23"/>
    </row>
    <row r="122" spans="1:25">
      <c r="A122" s="17">
        <f>(Posts!F122+Posts!G122+Posts!H122)</f>
        <v>4604</v>
      </c>
      <c r="B122" s="39">
        <f>('Engagement Analysis'!A122)/Posts!I122</f>
        <v>9.3980281287635997E-2</v>
      </c>
      <c r="D122" s="43"/>
      <c r="E122" s="23"/>
      <c r="G122" s="4"/>
      <c r="H122" s="4"/>
      <c r="X122" s="23"/>
      <c r="Y122" s="23"/>
    </row>
    <row r="123" spans="1:25">
      <c r="A123" s="17">
        <f>(Posts!F123+Posts!G123+Posts!H123)</f>
        <v>1845</v>
      </c>
      <c r="B123" s="39">
        <f>('Engagement Analysis'!A123)/Posts!I123</f>
        <v>3.5847516903707161E-2</v>
      </c>
      <c r="D123" s="43"/>
      <c r="E123" s="23"/>
      <c r="G123" s="4"/>
      <c r="H123" s="4"/>
      <c r="X123" s="23"/>
      <c r="Y123" s="23"/>
    </row>
    <row r="124" spans="1:25">
      <c r="A124" s="17">
        <f>(Posts!F124+Posts!G124+Posts!H124)</f>
        <v>3472</v>
      </c>
      <c r="B124" s="39">
        <f>('Engagement Analysis'!A124)/Posts!I124</f>
        <v>5.8764788517847777E-2</v>
      </c>
      <c r="D124" s="43"/>
      <c r="E124" s="23"/>
      <c r="G124" s="4"/>
      <c r="H124" s="4"/>
      <c r="X124" s="23"/>
      <c r="Y124" s="23"/>
    </row>
    <row r="125" spans="1:25">
      <c r="A125" s="17">
        <f>(Posts!F125+Posts!G125+Posts!H125)</f>
        <v>3959</v>
      </c>
      <c r="B125" s="39">
        <f>('Engagement Analysis'!A125)/Posts!I125</f>
        <v>8.5455879813503707E-2</v>
      </c>
      <c r="D125" s="43"/>
      <c r="E125" s="23"/>
      <c r="G125" s="4"/>
      <c r="H125" s="4"/>
      <c r="X125" s="23"/>
      <c r="Y125" s="23"/>
    </row>
    <row r="126" spans="1:25">
      <c r="A126" s="17">
        <f>(Posts!F126+Posts!G126+Posts!H126)</f>
        <v>3682</v>
      </c>
      <c r="B126" s="39">
        <f>('Engagement Analysis'!A126)/Posts!I126</f>
        <v>0.11041472996071611</v>
      </c>
      <c r="D126" s="43"/>
      <c r="E126" s="23"/>
      <c r="G126" s="4"/>
      <c r="H126" s="4"/>
      <c r="X126" s="23"/>
      <c r="Y126" s="23"/>
    </row>
    <row r="127" spans="1:25">
      <c r="A127" s="17">
        <f>(Posts!F127+Posts!G127+Posts!H127)</f>
        <v>3961</v>
      </c>
      <c r="B127" s="39">
        <f>('Engagement Analysis'!A127)/Posts!I127</f>
        <v>7.064131830503638E-2</v>
      </c>
      <c r="D127" s="43"/>
      <c r="E127" s="23"/>
      <c r="G127" s="4"/>
      <c r="H127" s="4"/>
      <c r="X127" s="23"/>
      <c r="Y127" s="23"/>
    </row>
    <row r="128" spans="1:25">
      <c r="A128" s="17">
        <f>(Posts!F128+Posts!G128+Posts!H128)</f>
        <v>1858</v>
      </c>
      <c r="B128" s="39">
        <f>('Engagement Analysis'!A128)/Posts!I128</f>
        <v>3.4738711788351875E-2</v>
      </c>
      <c r="D128" s="43"/>
      <c r="E128" s="23"/>
      <c r="G128" s="4"/>
      <c r="H128" s="4"/>
      <c r="X128" s="23"/>
      <c r="Y128" s="23"/>
    </row>
    <row r="129" spans="1:25">
      <c r="A129" s="17">
        <f>(Posts!F129+Posts!G129+Posts!H129)</f>
        <v>2575</v>
      </c>
      <c r="B129" s="39">
        <f>('Engagement Analysis'!A129)/Posts!I129</f>
        <v>0.10461100954702417</v>
      </c>
      <c r="D129" s="43"/>
      <c r="E129" s="23"/>
      <c r="G129" s="4"/>
      <c r="H129" s="4"/>
      <c r="X129" s="23"/>
      <c r="Y129" s="23"/>
    </row>
    <row r="130" spans="1:25">
      <c r="A130" s="17">
        <f>(Posts!F130+Posts!G130+Posts!H130)</f>
        <v>3910</v>
      </c>
      <c r="B130" s="39">
        <f>('Engagement Analysis'!A130)/Posts!I130</f>
        <v>7.9993453221219743E-2</v>
      </c>
      <c r="D130" s="43"/>
      <c r="E130" s="23"/>
      <c r="G130" s="4"/>
      <c r="H130" s="4"/>
      <c r="X130" s="23"/>
      <c r="Y130" s="23"/>
    </row>
    <row r="131" spans="1:25">
      <c r="A131" s="17">
        <f>(Posts!F131+Posts!G131+Posts!H131)</f>
        <v>1684</v>
      </c>
      <c r="B131" s="39">
        <f>('Engagement Analysis'!A131)/Posts!I131</f>
        <v>2.811915575741384E-2</v>
      </c>
      <c r="D131" s="43"/>
      <c r="E131" s="23"/>
      <c r="G131" s="4"/>
      <c r="H131" s="4"/>
      <c r="X131" s="23"/>
      <c r="Y131" s="23"/>
    </row>
    <row r="132" spans="1:25">
      <c r="A132" s="17">
        <f>(Posts!F132+Posts!G132+Posts!H132)</f>
        <v>2297</v>
      </c>
      <c r="B132" s="39">
        <f>('Engagement Analysis'!A132)/Posts!I132</f>
        <v>5.4592988710635768E-2</v>
      </c>
      <c r="D132" s="43"/>
      <c r="E132" s="23"/>
      <c r="G132" s="4"/>
      <c r="H132" s="4"/>
      <c r="X132" s="23"/>
      <c r="Y132" s="23"/>
    </row>
    <row r="133" spans="1:25">
      <c r="A133" s="17">
        <f>(Posts!F133+Posts!G133+Posts!H133)</f>
        <v>4620</v>
      </c>
      <c r="B133" s="39">
        <f>('Engagement Analysis'!A133)/Posts!I133</f>
        <v>9.2466575934672959E-2</v>
      </c>
      <c r="D133" s="43"/>
      <c r="E133" s="23"/>
      <c r="G133" s="4"/>
      <c r="H133" s="4"/>
      <c r="X133" s="23"/>
      <c r="Y133" s="23"/>
    </row>
    <row r="134" spans="1:25">
      <c r="A134" s="17">
        <f>(Posts!F134+Posts!G134+Posts!H134)</f>
        <v>2456</v>
      </c>
      <c r="B134" s="39">
        <f>('Engagement Analysis'!A134)/Posts!I134</f>
        <v>4.7508511296812134E-2</v>
      </c>
      <c r="D134" s="43"/>
      <c r="E134" s="23"/>
      <c r="G134" s="4"/>
      <c r="H134" s="4"/>
      <c r="X134" s="23"/>
      <c r="Y134" s="23"/>
    </row>
    <row r="135" spans="1:25">
      <c r="A135" s="17">
        <f>(Posts!F135+Posts!G135+Posts!H135)</f>
        <v>2265</v>
      </c>
      <c r="B135" s="39">
        <f>('Engagement Analysis'!A135)/Posts!I135</f>
        <v>7.4861184558434685E-2</v>
      </c>
      <c r="D135" s="43"/>
      <c r="E135" s="23"/>
      <c r="G135" s="4"/>
      <c r="H135" s="4"/>
      <c r="X135" s="23"/>
      <c r="Y135" s="23"/>
    </row>
    <row r="136" spans="1:25">
      <c r="A136" s="17">
        <f>(Posts!F136+Posts!G136+Posts!H136)</f>
        <v>3643</v>
      </c>
      <c r="B136" s="39">
        <f>('Engagement Analysis'!A136)/Posts!I136</f>
        <v>9.6834214933149046E-2</v>
      </c>
      <c r="D136" s="43"/>
      <c r="E136" s="23"/>
      <c r="G136" s="4"/>
      <c r="H136" s="4"/>
      <c r="X136" s="23"/>
      <c r="Y136" s="23"/>
    </row>
    <row r="137" spans="1:25">
      <c r="A137" s="17">
        <f>(Posts!F137+Posts!G137+Posts!H137)</f>
        <v>4274</v>
      </c>
      <c r="B137" s="39">
        <f>('Engagement Analysis'!A137)/Posts!I137</f>
        <v>0.18723441538528934</v>
      </c>
      <c r="D137" s="43"/>
      <c r="E137" s="23"/>
      <c r="G137" s="4"/>
      <c r="H137" s="4"/>
      <c r="X137" s="23"/>
      <c r="Y137" s="23"/>
    </row>
    <row r="138" spans="1:25">
      <c r="A138" s="17">
        <f>(Posts!F138+Posts!G138+Posts!H138)</f>
        <v>5447</v>
      </c>
      <c r="B138" s="39">
        <f>('Engagement Analysis'!A138)/Posts!I138</f>
        <v>0.16610252187966945</v>
      </c>
      <c r="D138" s="43"/>
      <c r="E138" s="23"/>
      <c r="G138" s="4"/>
      <c r="H138" s="4"/>
      <c r="X138" s="23"/>
      <c r="Y138" s="23"/>
    </row>
    <row r="139" spans="1:25">
      <c r="A139" s="17">
        <f>(Posts!F139+Posts!G139+Posts!H139)</f>
        <v>1347</v>
      </c>
      <c r="B139" s="39">
        <f>('Engagement Analysis'!A139)/Posts!I139</f>
        <v>2.7809319322005904E-2</v>
      </c>
      <c r="D139" s="43"/>
      <c r="E139" s="23"/>
      <c r="G139" s="4"/>
      <c r="H139" s="4"/>
      <c r="X139" s="23"/>
      <c r="Y139" s="23"/>
    </row>
    <row r="140" spans="1:25">
      <c r="A140" s="17">
        <f>(Posts!F140+Posts!G140+Posts!H140)</f>
        <v>3233</v>
      </c>
      <c r="B140" s="39">
        <f>('Engagement Analysis'!A140)/Posts!I140</f>
        <v>0.11645414595490239</v>
      </c>
      <c r="D140" s="43"/>
      <c r="E140" s="23"/>
      <c r="G140" s="4"/>
      <c r="H140" s="4"/>
      <c r="X140" s="23"/>
      <c r="Y140" s="23"/>
    </row>
    <row r="141" spans="1:25">
      <c r="A141" s="17">
        <f>(Posts!F141+Posts!G141+Posts!H141)</f>
        <v>2561</v>
      </c>
      <c r="B141" s="39">
        <f>('Engagement Analysis'!A141)/Posts!I141</f>
        <v>8.702596166915863E-2</v>
      </c>
      <c r="D141" s="43"/>
      <c r="E141" s="23"/>
      <c r="G141" s="4"/>
      <c r="H141" s="4"/>
      <c r="X141" s="23"/>
      <c r="Y141" s="23"/>
    </row>
    <row r="142" spans="1:25">
      <c r="A142" s="17">
        <f>(Posts!F142+Posts!G142+Posts!H142)</f>
        <v>4095</v>
      </c>
      <c r="B142" s="39">
        <f>('Engagement Analysis'!A142)/Posts!I142</f>
        <v>7.0594928198320889E-2</v>
      </c>
      <c r="D142" s="43"/>
      <c r="E142" s="23"/>
      <c r="G142" s="4"/>
      <c r="H142" s="4"/>
      <c r="X142" s="23"/>
      <c r="Y142" s="23"/>
    </row>
    <row r="143" spans="1:25">
      <c r="A143" s="17">
        <f>(Posts!F143+Posts!G143+Posts!H143)</f>
        <v>5124</v>
      </c>
      <c r="B143" s="39">
        <f>('Engagement Analysis'!A143)/Posts!I143</f>
        <v>0.11731037798484398</v>
      </c>
      <c r="D143" s="43"/>
      <c r="E143" s="23"/>
      <c r="G143" s="4"/>
      <c r="H143" s="4"/>
      <c r="X143" s="23"/>
      <c r="Y143" s="23"/>
    </row>
    <row r="144" spans="1:25">
      <c r="A144" s="17">
        <f>(Posts!F144+Posts!G144+Posts!H144)</f>
        <v>4910</v>
      </c>
      <c r="B144" s="39">
        <f>('Engagement Analysis'!A144)/Posts!I144</f>
        <v>9.2634518149573616E-2</v>
      </c>
      <c r="D144" s="43"/>
      <c r="E144" s="23"/>
      <c r="G144" s="4"/>
      <c r="H144" s="4"/>
      <c r="X144" s="23"/>
      <c r="Y144" s="23"/>
    </row>
    <row r="145" spans="1:25">
      <c r="A145" s="17">
        <f>(Posts!F145+Posts!G145+Posts!H145)</f>
        <v>2993</v>
      </c>
      <c r="B145" s="39">
        <f>('Engagement Analysis'!A145)/Posts!I145</f>
        <v>6.0370736430199488E-2</v>
      </c>
      <c r="D145" s="43"/>
      <c r="E145" s="23"/>
      <c r="G145" s="4"/>
      <c r="H145" s="4"/>
      <c r="X145" s="23"/>
      <c r="Y145" s="23"/>
    </row>
    <row r="146" spans="1:25">
      <c r="A146" s="17">
        <f>(Posts!F146+Posts!G146+Posts!H146)</f>
        <v>4682</v>
      </c>
      <c r="B146" s="39">
        <f>('Engagement Analysis'!A146)/Posts!I146</f>
        <v>0.11477740733477153</v>
      </c>
      <c r="D146" s="43"/>
      <c r="E146" s="23"/>
      <c r="G146" s="4"/>
      <c r="H146" s="4"/>
      <c r="X146" s="23"/>
      <c r="Y146" s="23"/>
    </row>
    <row r="147" spans="1:25">
      <c r="A147" s="17">
        <f>(Posts!F147+Posts!G147+Posts!H147)</f>
        <v>3331</v>
      </c>
      <c r="B147" s="39">
        <f>('Engagement Analysis'!A147)/Posts!I147</f>
        <v>8.1504318676747664E-2</v>
      </c>
      <c r="D147" s="43"/>
      <c r="E147" s="23"/>
      <c r="G147" s="4"/>
      <c r="H147" s="4"/>
      <c r="X147" s="23"/>
      <c r="Y147" s="23"/>
    </row>
    <row r="148" spans="1:25">
      <c r="A148" s="17">
        <f>(Posts!F148+Posts!G148+Posts!H148)</f>
        <v>2821</v>
      </c>
      <c r="B148" s="39">
        <f>('Engagement Analysis'!A148)/Posts!I148</f>
        <v>7.1988159338556151E-2</v>
      </c>
      <c r="D148" s="43"/>
      <c r="E148" s="23"/>
      <c r="G148" s="4"/>
      <c r="H148" s="4"/>
      <c r="X148" s="23"/>
      <c r="Y148" s="23"/>
    </row>
    <row r="149" spans="1:25">
      <c r="A149" s="17">
        <f>(Posts!F149+Posts!G149+Posts!H149)</f>
        <v>5142</v>
      </c>
      <c r="B149" s="39">
        <f>('Engagement Analysis'!A149)/Posts!I149</f>
        <v>0.10708707332819627</v>
      </c>
      <c r="D149" s="43"/>
      <c r="E149" s="23"/>
      <c r="G149" s="4"/>
      <c r="H149" s="4"/>
      <c r="X149" s="23"/>
      <c r="Y149" s="23"/>
    </row>
    <row r="150" spans="1:25">
      <c r="A150" s="17">
        <f>(Posts!F150+Posts!G150+Posts!H150)</f>
        <v>4636</v>
      </c>
      <c r="B150" s="39">
        <f>('Engagement Analysis'!A150)/Posts!I150</f>
        <v>8.1341895638137346E-2</v>
      </c>
      <c r="D150" s="43"/>
      <c r="E150" s="23"/>
      <c r="G150" s="4"/>
      <c r="H150" s="4"/>
      <c r="X150" s="23"/>
      <c r="Y150" s="23"/>
    </row>
    <row r="151" spans="1:25">
      <c r="A151" s="17">
        <f>(Posts!F151+Posts!G151+Posts!H151)</f>
        <v>2881</v>
      </c>
      <c r="B151" s="39">
        <f>('Engagement Analysis'!A151)/Posts!I151</f>
        <v>9.4928992718046723E-2</v>
      </c>
      <c r="D151" s="43"/>
      <c r="E151" s="23"/>
      <c r="G151" s="4"/>
      <c r="H151" s="4"/>
      <c r="X151" s="23"/>
      <c r="Y151" s="23"/>
    </row>
    <row r="152" spans="1:25">
      <c r="A152" s="17">
        <f>(Posts!F152+Posts!G152+Posts!H152)</f>
        <v>3642</v>
      </c>
      <c r="B152" s="39">
        <f>('Engagement Analysis'!A152)/Posts!I152</f>
        <v>6.9360859297630834E-2</v>
      </c>
      <c r="D152" s="43"/>
      <c r="E152" s="23"/>
      <c r="G152" s="4"/>
      <c r="H152" s="4"/>
      <c r="X152" s="23"/>
      <c r="Y152" s="23"/>
    </row>
    <row r="153" spans="1:25">
      <c r="A153" s="17">
        <f>(Posts!F153+Posts!G153+Posts!H153)</f>
        <v>3429</v>
      </c>
      <c r="B153" s="39">
        <f>('Engagement Analysis'!A153)/Posts!I153</f>
        <v>9.2425876010781671E-2</v>
      </c>
      <c r="D153" s="43"/>
      <c r="E153" s="23"/>
      <c r="G153" s="4"/>
      <c r="H153" s="4"/>
      <c r="X153" s="23"/>
      <c r="Y153" s="23"/>
    </row>
    <row r="154" spans="1:25">
      <c r="A154" s="17">
        <f>(Posts!F154+Posts!G154+Posts!H154)</f>
        <v>4321</v>
      </c>
      <c r="B154" s="39">
        <f>('Engagement Analysis'!A154)/Posts!I154</f>
        <v>8.2469701307376658E-2</v>
      </c>
      <c r="D154" s="43"/>
      <c r="E154" s="23"/>
      <c r="G154" s="4"/>
      <c r="H154" s="4"/>
      <c r="X154" s="23"/>
      <c r="Y154" s="23"/>
    </row>
    <row r="155" spans="1:25">
      <c r="A155" s="17">
        <f>(Posts!F155+Posts!G155+Posts!H155)</f>
        <v>3091</v>
      </c>
      <c r="B155" s="39">
        <f>('Engagement Analysis'!A155)/Posts!I155</f>
        <v>5.9585542168674697E-2</v>
      </c>
      <c r="D155" s="43"/>
      <c r="E155" s="23"/>
      <c r="G155" s="4"/>
      <c r="H155" s="4"/>
      <c r="X155" s="23"/>
      <c r="Y155" s="23"/>
    </row>
    <row r="156" spans="1:25">
      <c r="A156" s="17">
        <f>(Posts!F156+Posts!G156+Posts!H156)</f>
        <v>4273</v>
      </c>
      <c r="B156" s="39">
        <f>('Engagement Analysis'!A156)/Posts!I156</f>
        <v>0.10400389436534015</v>
      </c>
      <c r="D156" s="43"/>
      <c r="E156" s="23"/>
      <c r="G156" s="4"/>
      <c r="H156" s="4"/>
      <c r="X156" s="23"/>
      <c r="Y156" s="23"/>
    </row>
    <row r="157" spans="1:25">
      <c r="A157" s="17">
        <f>(Posts!F157+Posts!G157+Posts!H157)</f>
        <v>2060</v>
      </c>
      <c r="B157" s="39">
        <f>('Engagement Analysis'!A157)/Posts!I157</f>
        <v>3.8832755240536872E-2</v>
      </c>
      <c r="D157" s="43"/>
      <c r="E157" s="23"/>
      <c r="G157" s="4"/>
      <c r="H157" s="4"/>
      <c r="X157" s="23"/>
      <c r="Y157" s="23"/>
    </row>
    <row r="158" spans="1:25">
      <c r="A158" s="17">
        <f>(Posts!F158+Posts!G158+Posts!H158)</f>
        <v>4772</v>
      </c>
      <c r="B158" s="39">
        <f>('Engagement Analysis'!A158)/Posts!I158</f>
        <v>0.19390491670052823</v>
      </c>
      <c r="D158" s="43"/>
      <c r="E158" s="23"/>
      <c r="G158" s="4"/>
      <c r="H158" s="4"/>
      <c r="X158" s="23"/>
      <c r="Y158" s="23"/>
    </row>
    <row r="159" spans="1:25">
      <c r="A159" s="17">
        <f>(Posts!F159+Posts!G159+Posts!H159)</f>
        <v>5431</v>
      </c>
      <c r="B159" s="39">
        <f>('Engagement Analysis'!A159)/Posts!I159</f>
        <v>0.16116683482699271</v>
      </c>
      <c r="D159" s="43"/>
      <c r="E159" s="23"/>
      <c r="G159" s="4"/>
      <c r="H159" s="4"/>
      <c r="X159" s="23"/>
      <c r="Y159" s="23"/>
    </row>
    <row r="160" spans="1:25">
      <c r="A160" s="17">
        <f>(Posts!F160+Posts!G160+Posts!H160)</f>
        <v>2112</v>
      </c>
      <c r="B160" s="39">
        <f>('Engagement Analysis'!A160)/Posts!I160</f>
        <v>8.3133241487896081E-2</v>
      </c>
      <c r="D160" s="43"/>
      <c r="E160" s="23"/>
      <c r="G160" s="4"/>
      <c r="H160" s="4"/>
      <c r="X160" s="23"/>
      <c r="Y160" s="23"/>
    </row>
    <row r="161" spans="1:25">
      <c r="A161" s="17">
        <f>(Posts!F161+Posts!G161+Posts!H161)</f>
        <v>2309</v>
      </c>
      <c r="B161" s="39">
        <f>('Engagement Analysis'!A161)/Posts!I161</f>
        <v>4.9951325040562468E-2</v>
      </c>
      <c r="D161" s="43"/>
      <c r="E161" s="23"/>
      <c r="G161" s="4"/>
      <c r="H161" s="4"/>
      <c r="X161" s="23"/>
      <c r="Y161" s="23"/>
    </row>
    <row r="162" spans="1:25">
      <c r="A162" s="17">
        <f>(Posts!F162+Posts!G162+Posts!H162)</f>
        <v>3544</v>
      </c>
      <c r="B162" s="39">
        <f>('Engagement Analysis'!A162)/Posts!I162</f>
        <v>0.1552751489660007</v>
      </c>
      <c r="D162" s="43"/>
      <c r="E162" s="23"/>
      <c r="G162" s="4"/>
      <c r="H162" s="4"/>
      <c r="X162" s="23"/>
      <c r="Y162" s="23"/>
    </row>
    <row r="163" spans="1:25">
      <c r="A163" s="17">
        <f>(Posts!F163+Posts!G163+Posts!H163)</f>
        <v>2858</v>
      </c>
      <c r="B163" s="39">
        <f>('Engagement Analysis'!A163)/Posts!I163</f>
        <v>0.11258173796580792</v>
      </c>
      <c r="D163" s="43"/>
      <c r="E163" s="23"/>
      <c r="G163" s="4"/>
      <c r="H163" s="4"/>
      <c r="X163" s="23"/>
      <c r="Y163" s="23"/>
    </row>
    <row r="164" spans="1:25">
      <c r="A164" s="17">
        <f>(Posts!F164+Posts!G164+Posts!H164)</f>
        <v>3772</v>
      </c>
      <c r="B164" s="39">
        <f>('Engagement Analysis'!A164)/Posts!I164</f>
        <v>0.11046681895390383</v>
      </c>
      <c r="D164" s="43"/>
      <c r="E164" s="23"/>
      <c r="G164" s="4"/>
      <c r="H164" s="4"/>
      <c r="X164" s="23"/>
      <c r="Y164" s="23"/>
    </row>
    <row r="165" spans="1:25">
      <c r="A165" s="17">
        <f>(Posts!F165+Posts!G165+Posts!H165)</f>
        <v>1837</v>
      </c>
      <c r="B165" s="39">
        <f>('Engagement Analysis'!A165)/Posts!I165</f>
        <v>3.5523669554455448E-2</v>
      </c>
      <c r="D165" s="43"/>
      <c r="E165" s="23"/>
      <c r="G165" s="4"/>
      <c r="H165" s="4"/>
      <c r="X165" s="23"/>
      <c r="Y165" s="23"/>
    </row>
    <row r="166" spans="1:25">
      <c r="A166" s="17">
        <f>(Posts!F166+Posts!G166+Posts!H166)</f>
        <v>2914</v>
      </c>
      <c r="B166" s="39">
        <f>('Engagement Analysis'!A166)/Posts!I166</f>
        <v>0.10652531529884847</v>
      </c>
      <c r="D166" s="43"/>
      <c r="E166" s="23"/>
      <c r="G166" s="4"/>
      <c r="H166" s="4"/>
      <c r="X166" s="23"/>
      <c r="Y166" s="23"/>
    </row>
    <row r="167" spans="1:25">
      <c r="A167" s="17">
        <f>(Posts!F167+Posts!G167+Posts!H167)</f>
        <v>4911</v>
      </c>
      <c r="B167" s="39">
        <f>('Engagement Analysis'!A167)/Posts!I167</f>
        <v>9.2244407295403744E-2</v>
      </c>
      <c r="D167" s="43"/>
      <c r="E167" s="23"/>
      <c r="G167" s="4"/>
      <c r="H167" s="4"/>
      <c r="X167" s="23"/>
      <c r="Y167" s="23"/>
    </row>
    <row r="168" spans="1:25">
      <c r="A168" s="17">
        <f>(Posts!F168+Posts!G168+Posts!H168)</f>
        <v>4810</v>
      </c>
      <c r="B168" s="39">
        <f>('Engagement Analysis'!A168)/Posts!I168</f>
        <v>0.1612578785034196</v>
      </c>
      <c r="D168" s="43"/>
      <c r="E168" s="23"/>
      <c r="G168" s="4"/>
      <c r="H168" s="4"/>
      <c r="X168" s="23"/>
      <c r="Y168" s="23"/>
    </row>
    <row r="169" spans="1:25">
      <c r="A169" s="17">
        <f>(Posts!F169+Posts!G169+Posts!H169)</f>
        <v>3424</v>
      </c>
      <c r="B169" s="39">
        <f>('Engagement Analysis'!A169)/Posts!I169</f>
        <v>0.10143081434961637</v>
      </c>
      <c r="D169" s="43"/>
      <c r="E169" s="23"/>
      <c r="G169" s="4"/>
      <c r="H169" s="4"/>
      <c r="X169" s="23"/>
      <c r="Y169" s="23"/>
    </row>
    <row r="170" spans="1:25">
      <c r="A170" s="17">
        <f>(Posts!F170+Posts!G170+Posts!H170)</f>
        <v>4410</v>
      </c>
      <c r="B170" s="39">
        <f>('Engagement Analysis'!A170)/Posts!I170</f>
        <v>8.4528099363643333E-2</v>
      </c>
      <c r="D170" s="43"/>
      <c r="E170" s="23"/>
      <c r="G170" s="4"/>
      <c r="H170" s="4"/>
      <c r="X170" s="23"/>
      <c r="Y170" s="23"/>
    </row>
    <row r="171" spans="1:25">
      <c r="A171" s="17">
        <f>(Posts!F171+Posts!G171+Posts!H171)</f>
        <v>5018</v>
      </c>
      <c r="B171" s="39">
        <f>('Engagement Analysis'!A171)/Posts!I171</f>
        <v>0.15513030574705536</v>
      </c>
      <c r="D171" s="43"/>
      <c r="E171" s="23"/>
      <c r="G171" s="4"/>
      <c r="H171" s="4"/>
      <c r="X171" s="23"/>
      <c r="Y171" s="23"/>
    </row>
    <row r="172" spans="1:25">
      <c r="A172" s="17">
        <f>(Posts!F172+Posts!G172+Posts!H172)</f>
        <v>2560</v>
      </c>
      <c r="B172" s="39">
        <f>('Engagement Analysis'!A172)/Posts!I172</f>
        <v>9.8031707130274953E-2</v>
      </c>
      <c r="D172" s="43"/>
      <c r="E172" s="23"/>
      <c r="G172" s="4"/>
      <c r="H172" s="4"/>
      <c r="X172" s="23"/>
      <c r="Y172" s="23"/>
    </row>
    <row r="173" spans="1:25">
      <c r="A173" s="17">
        <f>(Posts!F173+Posts!G173+Posts!H173)</f>
        <v>4407</v>
      </c>
      <c r="B173" s="39">
        <f>('Engagement Analysis'!A173)/Posts!I173</f>
        <v>0.16447098339242397</v>
      </c>
      <c r="D173" s="43"/>
      <c r="E173" s="23"/>
      <c r="G173" s="4"/>
      <c r="H173" s="4"/>
      <c r="X173" s="23"/>
      <c r="Y173" s="23"/>
    </row>
    <row r="174" spans="1:25">
      <c r="A174" s="17">
        <f>(Posts!F174+Posts!G174+Posts!H174)</f>
        <v>4348</v>
      </c>
      <c r="B174" s="39">
        <f>('Engagement Analysis'!A174)/Posts!I174</f>
        <v>0.10077178019329269</v>
      </c>
      <c r="D174" s="43"/>
      <c r="E174" s="23"/>
      <c r="G174" s="4"/>
      <c r="H174" s="4"/>
      <c r="X174" s="23"/>
      <c r="Y174" s="23"/>
    </row>
    <row r="175" spans="1:25">
      <c r="A175" s="17">
        <f>(Posts!F175+Posts!G175+Posts!H175)</f>
        <v>5431</v>
      </c>
      <c r="B175" s="39">
        <f>('Engagement Analysis'!A175)/Posts!I175</f>
        <v>0.10256458679558846</v>
      </c>
      <c r="D175" s="43"/>
      <c r="E175" s="23"/>
      <c r="G175" s="4"/>
      <c r="H175" s="4"/>
      <c r="X175" s="23"/>
      <c r="Y175" s="23"/>
    </row>
    <row r="176" spans="1:25">
      <c r="A176" s="17">
        <f>(Posts!F176+Posts!G176+Posts!H176)</f>
        <v>3123</v>
      </c>
      <c r="B176" s="39">
        <f>('Engagement Analysis'!A176)/Posts!I176</f>
        <v>5.6980732739746021E-2</v>
      </c>
      <c r="D176" s="43"/>
      <c r="E176" s="23"/>
      <c r="G176" s="4"/>
      <c r="H176" s="4"/>
      <c r="X176" s="23"/>
      <c r="Y176" s="23"/>
    </row>
    <row r="177" spans="1:25">
      <c r="A177" s="17">
        <f>(Posts!F177+Posts!G177+Posts!H177)</f>
        <v>3916</v>
      </c>
      <c r="B177" s="39">
        <f>('Engagement Analysis'!A177)/Posts!I177</f>
        <v>8.4227733207149463E-2</v>
      </c>
      <c r="D177" s="43"/>
      <c r="E177" s="23"/>
      <c r="G177" s="4"/>
      <c r="H177" s="4"/>
      <c r="X177" s="23"/>
      <c r="Y177" s="23"/>
    </row>
    <row r="178" spans="1:25">
      <c r="A178" s="17">
        <f>(Posts!F178+Posts!G178+Posts!H178)</f>
        <v>5614</v>
      </c>
      <c r="B178" s="39">
        <f>('Engagement Analysis'!A178)/Posts!I178</f>
        <v>0.1728980597474592</v>
      </c>
      <c r="D178" s="43"/>
      <c r="E178" s="23"/>
      <c r="G178" s="4"/>
      <c r="H178" s="4"/>
      <c r="X178" s="23"/>
      <c r="Y178" s="23"/>
    </row>
    <row r="179" spans="1:25">
      <c r="A179" s="17">
        <f>(Posts!F179+Posts!G179+Posts!H179)</f>
        <v>4422</v>
      </c>
      <c r="B179" s="39">
        <f>('Engagement Analysis'!A179)/Posts!I179</f>
        <v>7.3899528727564417E-2</v>
      </c>
      <c r="D179" s="43"/>
      <c r="E179" s="23"/>
      <c r="G179" s="4"/>
      <c r="H179" s="4"/>
      <c r="X179" s="23"/>
      <c r="Y179" s="23"/>
    </row>
    <row r="180" spans="1:25">
      <c r="A180" s="17">
        <f>(Posts!F180+Posts!G180+Posts!H180)</f>
        <v>2818</v>
      </c>
      <c r="B180" s="39">
        <f>('Engagement Analysis'!A180)/Posts!I180</f>
        <v>7.090200025160398E-2</v>
      </c>
      <c r="D180" s="43"/>
      <c r="E180" s="23"/>
      <c r="G180" s="4"/>
      <c r="H180" s="4"/>
      <c r="X180" s="23"/>
      <c r="Y180" s="23"/>
    </row>
    <row r="181" spans="1:25">
      <c r="A181" s="17">
        <f>(Posts!F181+Posts!G181+Posts!H181)</f>
        <v>4534</v>
      </c>
      <c r="B181" s="39">
        <f>('Engagement Analysis'!A181)/Posts!I181</f>
        <v>7.7731488624869283E-2</v>
      </c>
      <c r="D181" s="43"/>
      <c r="E181" s="23"/>
      <c r="G181" s="4"/>
      <c r="H181" s="4"/>
      <c r="X181" s="23"/>
      <c r="Y181" s="23"/>
    </row>
    <row r="182" spans="1:25">
      <c r="A182" s="17">
        <f>(Posts!F182+Posts!G182+Posts!H182)</f>
        <v>2562</v>
      </c>
      <c r="B182" s="39">
        <f>('Engagement Analysis'!A182)/Posts!I182</f>
        <v>4.2982250109049422E-2</v>
      </c>
      <c r="D182" s="43"/>
      <c r="E182" s="23"/>
      <c r="G182" s="4"/>
      <c r="H182" s="4"/>
      <c r="X182" s="23"/>
      <c r="Y182" s="23"/>
    </row>
    <row r="183" spans="1:25">
      <c r="A183" s="17">
        <f>(Posts!F183+Posts!G183+Posts!H183)</f>
        <v>3411</v>
      </c>
      <c r="B183" s="39">
        <f>('Engagement Analysis'!A183)/Posts!I183</f>
        <v>7.2213401079707848E-2</v>
      </c>
      <c r="D183" s="43"/>
      <c r="E183" s="23"/>
      <c r="G183" s="4"/>
      <c r="H183" s="4"/>
      <c r="X183" s="23"/>
      <c r="Y183" s="23"/>
    </row>
    <row r="184" spans="1:25">
      <c r="A184" s="17">
        <f>(Posts!F184+Posts!G184+Posts!H184)</f>
        <v>3687</v>
      </c>
      <c r="B184" s="39">
        <f>('Engagement Analysis'!A184)/Posts!I184</f>
        <v>0.16743869209809265</v>
      </c>
      <c r="D184" s="43"/>
      <c r="E184" s="23"/>
      <c r="G184" s="4"/>
      <c r="H184" s="4"/>
      <c r="X184" s="23"/>
      <c r="Y184" s="23"/>
    </row>
    <row r="185" spans="1:25">
      <c r="A185" s="17">
        <f>(Posts!F185+Posts!G185+Posts!H185)</f>
        <v>2982</v>
      </c>
      <c r="B185" s="39">
        <f>('Engagement Analysis'!A185)/Posts!I185</f>
        <v>6.2648374965860634E-2</v>
      </c>
      <c r="D185" s="43"/>
      <c r="E185" s="23"/>
      <c r="G185" s="4"/>
      <c r="H185" s="4"/>
      <c r="X185" s="23"/>
      <c r="Y185" s="23"/>
    </row>
    <row r="186" spans="1:25">
      <c r="A186" s="17">
        <f>(Posts!F186+Posts!G186+Posts!H186)</f>
        <v>3265</v>
      </c>
      <c r="B186" s="39">
        <f>('Engagement Analysis'!A186)/Posts!I186</f>
        <v>8.5966298051606105E-2</v>
      </c>
      <c r="D186" s="43"/>
      <c r="E186" s="23"/>
      <c r="G186" s="4"/>
      <c r="H186" s="4"/>
      <c r="X186" s="23"/>
      <c r="Y186" s="23"/>
    </row>
    <row r="187" spans="1:25">
      <c r="A187" s="17">
        <f>(Posts!F187+Posts!G187+Posts!H187)</f>
        <v>5184</v>
      </c>
      <c r="B187" s="39">
        <f>('Engagement Analysis'!A187)/Posts!I187</f>
        <v>0.22967524699836073</v>
      </c>
      <c r="D187" s="43"/>
      <c r="E187" s="23"/>
      <c r="G187" s="4"/>
      <c r="H187" s="4"/>
      <c r="X187" s="23"/>
      <c r="Y187" s="23"/>
    </row>
    <row r="188" spans="1:25">
      <c r="A188" s="17">
        <f>(Posts!F188+Posts!G188+Posts!H188)</f>
        <v>4879</v>
      </c>
      <c r="B188" s="39">
        <f>('Engagement Analysis'!A188)/Posts!I188</f>
        <v>0.12920396165457337</v>
      </c>
      <c r="D188" s="43"/>
      <c r="E188" s="23"/>
      <c r="G188" s="4"/>
      <c r="H188" s="4"/>
      <c r="X188" s="23"/>
      <c r="Y188" s="23"/>
    </row>
    <row r="189" spans="1:25">
      <c r="A189" s="17">
        <f>(Posts!F189+Posts!G189+Posts!H189)</f>
        <v>4432</v>
      </c>
      <c r="B189" s="39">
        <f>('Engagement Analysis'!A189)/Posts!I189</f>
        <v>9.8222596516111871E-2</v>
      </c>
      <c r="D189" s="43"/>
      <c r="E189" s="23"/>
      <c r="G189" s="4"/>
      <c r="H189" s="4"/>
      <c r="X189" s="23"/>
      <c r="Y189" s="23"/>
    </row>
    <row r="190" spans="1:25">
      <c r="A190" s="17">
        <f>(Posts!F190+Posts!G190+Posts!H190)</f>
        <v>5584</v>
      </c>
      <c r="B190" s="39">
        <f>('Engagement Analysis'!A190)/Posts!I190</f>
        <v>0.11349824183418362</v>
      </c>
      <c r="D190" s="43"/>
      <c r="E190" s="23"/>
      <c r="G190" s="4"/>
      <c r="H190" s="4"/>
      <c r="X190" s="23"/>
      <c r="Y190" s="23"/>
    </row>
    <row r="191" spans="1:25">
      <c r="A191" s="17">
        <f>(Posts!F191+Posts!G191+Posts!H191)</f>
        <v>3035</v>
      </c>
      <c r="B191" s="39">
        <f>('Engagement Analysis'!A191)/Posts!I191</f>
        <v>9.4251731312692155E-2</v>
      </c>
      <c r="D191" s="43"/>
      <c r="E191" s="23"/>
      <c r="G191" s="4"/>
      <c r="H191" s="4"/>
      <c r="X191" s="23"/>
      <c r="Y191" s="23"/>
    </row>
    <row r="192" spans="1:25">
      <c r="A192" s="17">
        <f>(Posts!F192+Posts!G192+Posts!H192)</f>
        <v>4586</v>
      </c>
      <c r="B192" s="39">
        <f>('Engagement Analysis'!A192)/Posts!I192</f>
        <v>0.10173025732031943</v>
      </c>
      <c r="D192" s="43"/>
      <c r="E192" s="23"/>
      <c r="G192" s="4"/>
      <c r="H192" s="4"/>
      <c r="X192" s="23"/>
      <c r="Y192" s="23"/>
    </row>
    <row r="193" spans="1:25">
      <c r="A193" s="17">
        <f>(Posts!F193+Posts!G193+Posts!H193)</f>
        <v>5012</v>
      </c>
      <c r="B193" s="39">
        <f>('Engagement Analysis'!A193)/Posts!I193</f>
        <v>8.9237069349238848E-2</v>
      </c>
      <c r="D193" s="43"/>
      <c r="E193" s="23"/>
      <c r="G193" s="4"/>
      <c r="H193" s="4"/>
      <c r="X193" s="23"/>
      <c r="Y193" s="23"/>
    </row>
    <row r="194" spans="1:25">
      <c r="A194" s="17">
        <f>(Posts!F194+Posts!G194+Posts!H194)</f>
        <v>1725</v>
      </c>
      <c r="B194" s="39">
        <f>('Engagement Analysis'!A194)/Posts!I194</f>
        <v>6.5015829941203071E-2</v>
      </c>
      <c r="D194" s="43"/>
      <c r="E194" s="23"/>
      <c r="G194" s="4"/>
      <c r="H194" s="4"/>
      <c r="X194" s="23"/>
      <c r="Y194" s="23"/>
    </row>
    <row r="195" spans="1:25">
      <c r="A195" s="17">
        <f>(Posts!F195+Posts!G195+Posts!H195)</f>
        <v>3294</v>
      </c>
      <c r="B195" s="39">
        <f>('Engagement Analysis'!A195)/Posts!I195</f>
        <v>5.6436966727204191E-2</v>
      </c>
      <c r="D195" s="43"/>
      <c r="E195" s="23"/>
      <c r="G195" s="4"/>
      <c r="H195" s="4"/>
      <c r="X195" s="23"/>
      <c r="Y195" s="23"/>
    </row>
    <row r="196" spans="1:25">
      <c r="A196" s="17">
        <f>(Posts!F196+Posts!G196+Posts!H196)</f>
        <v>4313</v>
      </c>
      <c r="B196" s="39">
        <f>('Engagement Analysis'!A196)/Posts!I196</f>
        <v>0.10713930842607314</v>
      </c>
      <c r="D196" s="43"/>
      <c r="E196" s="23"/>
      <c r="G196" s="4"/>
      <c r="H196" s="4"/>
      <c r="X196" s="23"/>
      <c r="Y196" s="23"/>
    </row>
    <row r="197" spans="1:25">
      <c r="A197" s="17">
        <f>(Posts!F197+Posts!G197+Posts!H197)</f>
        <v>2530</v>
      </c>
      <c r="B197" s="39">
        <f>('Engagement Analysis'!A197)/Posts!I197</f>
        <v>5.1833640647408315E-2</v>
      </c>
      <c r="D197" s="43"/>
      <c r="E197" s="23"/>
      <c r="G197" s="4"/>
      <c r="H197" s="4"/>
      <c r="X197" s="23"/>
      <c r="Y197" s="23"/>
    </row>
    <row r="198" spans="1:25">
      <c r="A198" s="17">
        <f>(Posts!F198+Posts!G198+Posts!H198)</f>
        <v>2132</v>
      </c>
      <c r="B198" s="39">
        <f>('Engagement Analysis'!A198)/Posts!I198</f>
        <v>3.5821698002251455E-2</v>
      </c>
      <c r="D198" s="43"/>
      <c r="E198" s="23"/>
      <c r="G198" s="4"/>
      <c r="H198" s="4"/>
      <c r="X198" s="23"/>
      <c r="Y198" s="23"/>
    </row>
    <row r="199" spans="1:25">
      <c r="A199" s="17">
        <f>(Posts!F199+Posts!G199+Posts!H199)</f>
        <v>1534</v>
      </c>
      <c r="B199" s="39">
        <f>('Engagement Analysis'!A199)/Posts!I199</f>
        <v>3.5034029141734799E-2</v>
      </c>
      <c r="D199" s="43"/>
      <c r="E199" s="23"/>
      <c r="G199" s="4"/>
      <c r="H199" s="4"/>
      <c r="X199" s="23"/>
      <c r="Y199" s="23"/>
    </row>
    <row r="200" spans="1:25">
      <c r="A200" s="17">
        <f>(Posts!F200+Posts!G200+Posts!H200)</f>
        <v>4601</v>
      </c>
      <c r="B200" s="39">
        <f>('Engagement Analysis'!A200)/Posts!I200</f>
        <v>0.13946227759085811</v>
      </c>
      <c r="D200" s="43"/>
      <c r="E200" s="23"/>
      <c r="G200" s="4"/>
      <c r="H200" s="4"/>
      <c r="X200" s="23"/>
      <c r="Y200" s="23"/>
    </row>
    <row r="201" spans="1:25">
      <c r="A201" s="17">
        <f>(Posts!F201+Posts!G201+Posts!H201)</f>
        <v>2547</v>
      </c>
      <c r="B201" s="39">
        <f>('Engagement Analysis'!A201)/Posts!I201</f>
        <v>4.5247823769763724E-2</v>
      </c>
      <c r="D201" s="43"/>
      <c r="E201" s="23"/>
      <c r="G201" s="4"/>
      <c r="H201" s="4"/>
      <c r="X201" s="23"/>
      <c r="Y201" s="23"/>
    </row>
    <row r="202" spans="1:25">
      <c r="A202" s="17">
        <f>(Posts!F202+Posts!G202+Posts!H202)</f>
        <v>2233</v>
      </c>
      <c r="B202" s="39">
        <f>('Engagement Analysis'!A202)/Posts!I202</f>
        <v>6.2974139146620034E-2</v>
      </c>
      <c r="D202" s="43"/>
      <c r="E202" s="23"/>
      <c r="G202" s="4"/>
      <c r="H202" s="4"/>
      <c r="X202" s="23"/>
      <c r="Y202" s="23"/>
    </row>
    <row r="203" spans="1:25">
      <c r="A203" s="17">
        <f>(Posts!F203+Posts!G203+Posts!H203)</f>
        <v>2687</v>
      </c>
      <c r="B203" s="39">
        <f>('Engagement Analysis'!A203)/Posts!I203</f>
        <v>0.10784235029699792</v>
      </c>
      <c r="D203" s="43"/>
      <c r="E203" s="23"/>
      <c r="G203" s="4"/>
      <c r="H203" s="4"/>
      <c r="X203" s="23"/>
      <c r="Y203" s="23"/>
    </row>
    <row r="204" spans="1:25">
      <c r="A204" s="17">
        <f>(Posts!F204+Posts!G204+Posts!H204)</f>
        <v>2561</v>
      </c>
      <c r="B204" s="39">
        <f>('Engagement Analysis'!A204)/Posts!I204</f>
        <v>8.2690258629040073E-2</v>
      </c>
      <c r="D204" s="43"/>
      <c r="E204" s="23"/>
      <c r="G204" s="4"/>
      <c r="H204" s="4"/>
      <c r="X204" s="23"/>
      <c r="Y204" s="23"/>
    </row>
    <row r="205" spans="1:25">
      <c r="A205" s="17">
        <f>(Posts!F205+Posts!G205+Posts!H205)</f>
        <v>4627</v>
      </c>
      <c r="B205" s="39">
        <f>('Engagement Analysis'!A205)/Posts!I205</f>
        <v>9.7836889180216949E-2</v>
      </c>
      <c r="D205" s="43"/>
      <c r="E205" s="23"/>
      <c r="G205" s="4"/>
      <c r="H205" s="4"/>
      <c r="X205" s="23"/>
      <c r="Y205" s="23"/>
    </row>
    <row r="206" spans="1:25">
      <c r="A206" s="17">
        <f>(Posts!F206+Posts!G206+Posts!H206)</f>
        <v>4227</v>
      </c>
      <c r="B206" s="39">
        <f>('Engagement Analysis'!A206)/Posts!I206</f>
        <v>7.7428927315357568E-2</v>
      </c>
      <c r="D206" s="43"/>
      <c r="E206" s="23"/>
      <c r="G206" s="4"/>
      <c r="H206" s="4"/>
      <c r="X206" s="23"/>
      <c r="Y206" s="23"/>
    </row>
    <row r="207" spans="1:25">
      <c r="A207" s="17">
        <f>(Posts!F207+Posts!G207+Posts!H207)</f>
        <v>4593</v>
      </c>
      <c r="B207" s="39">
        <f>('Engagement Analysis'!A207)/Posts!I207</f>
        <v>7.9782521843353188E-2</v>
      </c>
      <c r="D207" s="43"/>
      <c r="E207" s="23"/>
      <c r="G207" s="4"/>
      <c r="H207" s="4"/>
      <c r="X207" s="23"/>
      <c r="Y207" s="23"/>
    </row>
    <row r="208" spans="1:25">
      <c r="A208" s="17">
        <f>(Posts!F208+Posts!G208+Posts!H208)</f>
        <v>3659</v>
      </c>
      <c r="B208" s="39">
        <f>('Engagement Analysis'!A208)/Posts!I208</f>
        <v>7.1022341272152026E-2</v>
      </c>
      <c r="D208" s="43"/>
      <c r="E208" s="23"/>
      <c r="G208" s="4"/>
      <c r="H208" s="4"/>
      <c r="X208" s="23"/>
      <c r="Y208" s="23"/>
    </row>
    <row r="209" spans="1:25">
      <c r="A209" s="17">
        <f>(Posts!F209+Posts!G209+Posts!H209)</f>
        <v>2132</v>
      </c>
      <c r="B209" s="39">
        <f>('Engagement Analysis'!A209)/Posts!I209</f>
        <v>3.9319108127547353E-2</v>
      </c>
      <c r="D209" s="43"/>
      <c r="E209" s="23"/>
      <c r="G209" s="4"/>
      <c r="H209" s="4"/>
      <c r="X209" s="23"/>
      <c r="Y209" s="23"/>
    </row>
    <row r="210" spans="1:25">
      <c r="A210" s="17">
        <f>(Posts!F210+Posts!G210+Posts!H210)</f>
        <v>3397</v>
      </c>
      <c r="B210" s="39">
        <f>('Engagement Analysis'!A210)/Posts!I210</f>
        <v>7.7181741758116915E-2</v>
      </c>
      <c r="D210" s="43"/>
      <c r="E210" s="23"/>
      <c r="G210" s="4"/>
      <c r="H210" s="4"/>
      <c r="X210" s="23"/>
      <c r="Y210" s="23"/>
    </row>
    <row r="211" spans="1:25">
      <c r="A211" s="17">
        <f>(Posts!F211+Posts!G211+Posts!H211)</f>
        <v>1611</v>
      </c>
      <c r="B211" s="39">
        <f>('Engagement Analysis'!A211)/Posts!I211</f>
        <v>3.4110398272247981E-2</v>
      </c>
      <c r="D211" s="43"/>
      <c r="E211" s="23"/>
      <c r="G211" s="4"/>
      <c r="H211" s="4"/>
      <c r="X211" s="23"/>
      <c r="Y211" s="23"/>
    </row>
    <row r="212" spans="1:25">
      <c r="A212" s="17">
        <f>(Posts!F212+Posts!G212+Posts!H212)</f>
        <v>1529</v>
      </c>
      <c r="B212" s="39">
        <f>('Engagement Analysis'!A212)/Posts!I212</f>
        <v>3.1623578076525334E-2</v>
      </c>
      <c r="D212" s="43"/>
      <c r="E212" s="23"/>
      <c r="G212" s="4"/>
      <c r="H212" s="4"/>
      <c r="X212" s="23"/>
      <c r="Y212" s="23"/>
    </row>
    <row r="213" spans="1:25">
      <c r="A213" s="17">
        <f>(Posts!F213+Posts!G213+Posts!H213)</f>
        <v>2190</v>
      </c>
      <c r="B213" s="39">
        <f>('Engagement Analysis'!A213)/Posts!I213</f>
        <v>4.0153279184466734E-2</v>
      </c>
      <c r="D213" s="43"/>
      <c r="E213" s="23"/>
      <c r="G213" s="4"/>
      <c r="H213" s="4"/>
      <c r="X213" s="23"/>
      <c r="Y213" s="23"/>
    </row>
    <row r="214" spans="1:25">
      <c r="A214" s="17">
        <f>(Posts!F214+Posts!G214+Posts!H214)</f>
        <v>5700</v>
      </c>
      <c r="B214" s="39">
        <f>('Engagement Analysis'!A214)/Posts!I214</f>
        <v>0.17995832544042431</v>
      </c>
      <c r="D214" s="43"/>
      <c r="E214" s="23"/>
      <c r="G214" s="4"/>
      <c r="H214" s="4"/>
      <c r="X214" s="23"/>
      <c r="Y214" s="23"/>
    </row>
    <row r="215" spans="1:25">
      <c r="A215" s="17">
        <f>(Posts!F215+Posts!G215+Posts!H215)</f>
        <v>2899</v>
      </c>
      <c r="B215" s="39">
        <f>('Engagement Analysis'!A215)/Posts!I215</f>
        <v>0.12555218709398008</v>
      </c>
      <c r="D215" s="43"/>
      <c r="E215" s="23"/>
      <c r="G215" s="4"/>
      <c r="H215" s="4"/>
      <c r="X215" s="23"/>
      <c r="Y215" s="23"/>
    </row>
    <row r="216" spans="1:25">
      <c r="A216" s="17">
        <f>(Posts!F216+Posts!G216+Posts!H216)</f>
        <v>3105</v>
      </c>
      <c r="B216" s="39">
        <f>('Engagement Analysis'!A216)/Posts!I216</f>
        <v>8.2744836775483013E-2</v>
      </c>
      <c r="D216" s="43"/>
      <c r="E216" s="23"/>
      <c r="G216" s="4"/>
      <c r="H216" s="4"/>
      <c r="X216" s="23"/>
      <c r="Y216" s="23"/>
    </row>
    <row r="217" spans="1:25">
      <c r="A217" s="17">
        <f>(Posts!F217+Posts!G217+Posts!H217)</f>
        <v>2150</v>
      </c>
      <c r="B217" s="39">
        <f>('Engagement Analysis'!A217)/Posts!I217</f>
        <v>5.2041730205988429E-2</v>
      </c>
      <c r="D217" s="43"/>
      <c r="E217" s="23"/>
      <c r="G217" s="4"/>
      <c r="H217" s="4"/>
      <c r="X217" s="23"/>
      <c r="Y217" s="23"/>
    </row>
    <row r="218" spans="1:25">
      <c r="A218" s="17">
        <f>(Posts!F218+Posts!G218+Posts!H218)</f>
        <v>2466</v>
      </c>
      <c r="B218" s="39">
        <f>('Engagement Analysis'!A218)/Posts!I218</f>
        <v>9.4450189589796618E-2</v>
      </c>
      <c r="D218" s="43"/>
      <c r="E218" s="23"/>
      <c r="G218" s="4"/>
      <c r="H218" s="4"/>
      <c r="X218" s="23"/>
      <c r="Y218" s="23"/>
    </row>
    <row r="219" spans="1:25">
      <c r="A219" s="17">
        <f>(Posts!F219+Posts!G219+Posts!H219)</f>
        <v>4911</v>
      </c>
      <c r="B219" s="39">
        <f>('Engagement Analysis'!A219)/Posts!I219</f>
        <v>0.12409349336702463</v>
      </c>
      <c r="D219" s="43"/>
      <c r="E219" s="23"/>
      <c r="G219" s="4"/>
      <c r="H219" s="4"/>
      <c r="X219" s="23"/>
      <c r="Y219" s="23"/>
    </row>
    <row r="220" spans="1:25">
      <c r="A220" s="17">
        <f>(Posts!F220+Posts!G220+Posts!H220)</f>
        <v>2354</v>
      </c>
      <c r="B220" s="39">
        <f>('Engagement Analysis'!A220)/Posts!I220</f>
        <v>4.5610431884675749E-2</v>
      </c>
      <c r="D220" s="43"/>
      <c r="E220" s="23"/>
      <c r="G220" s="4"/>
      <c r="H220" s="4"/>
      <c r="X220" s="23"/>
      <c r="Y220" s="23"/>
    </row>
    <row r="221" spans="1:25">
      <c r="A221" s="17">
        <f>(Posts!F221+Posts!G221+Posts!H221)</f>
        <v>3084</v>
      </c>
      <c r="B221" s="39">
        <f>('Engagement Analysis'!A221)/Posts!I221</f>
        <v>8.0371103929948923E-2</v>
      </c>
      <c r="D221" s="43"/>
      <c r="E221" s="23"/>
      <c r="G221" s="4"/>
      <c r="H221" s="4"/>
      <c r="X221" s="23"/>
      <c r="Y221" s="23"/>
    </row>
    <row r="222" spans="1:25">
      <c r="A222" s="17">
        <f>(Posts!F222+Posts!G222+Posts!H222)</f>
        <v>3336</v>
      </c>
      <c r="B222" s="39">
        <f>('Engagement Analysis'!A222)/Posts!I222</f>
        <v>0.1271002400274317</v>
      </c>
      <c r="D222" s="43"/>
      <c r="E222" s="23"/>
      <c r="G222" s="4"/>
      <c r="H222" s="4"/>
      <c r="X222" s="23"/>
      <c r="Y222" s="23"/>
    </row>
    <row r="223" spans="1:25">
      <c r="A223" s="17">
        <f>(Posts!F223+Posts!G223+Posts!H223)</f>
        <v>3877</v>
      </c>
      <c r="B223" s="39">
        <f>('Engagement Analysis'!A223)/Posts!I223</f>
        <v>8.6602037169406718E-2</v>
      </c>
      <c r="D223" s="43"/>
      <c r="E223" s="23"/>
      <c r="G223" s="4"/>
      <c r="H223" s="4"/>
      <c r="X223" s="23"/>
      <c r="Y223" s="23"/>
    </row>
    <row r="224" spans="1:25">
      <c r="A224" s="17">
        <f>(Posts!F224+Posts!G224+Posts!H224)</f>
        <v>1591</v>
      </c>
      <c r="B224" s="39">
        <f>('Engagement Analysis'!A224)/Posts!I224</f>
        <v>2.9336922849977874E-2</v>
      </c>
      <c r="D224" s="43"/>
      <c r="E224" s="23"/>
      <c r="G224" s="4"/>
      <c r="H224" s="4"/>
      <c r="X224" s="23"/>
      <c r="Y224" s="23"/>
    </row>
    <row r="225" spans="1:25">
      <c r="A225" s="17">
        <f>(Posts!F225+Posts!G225+Posts!H225)</f>
        <v>5036</v>
      </c>
      <c r="B225" s="39">
        <f>('Engagement Analysis'!A225)/Posts!I225</f>
        <v>0.11126822801590809</v>
      </c>
      <c r="D225" s="43"/>
      <c r="E225" s="23"/>
      <c r="G225" s="4"/>
      <c r="H225" s="4"/>
      <c r="X225" s="23"/>
      <c r="Y225" s="23"/>
    </row>
    <row r="226" spans="1:25">
      <c r="A226" s="17">
        <f>(Posts!F226+Posts!G226+Posts!H226)</f>
        <v>2136</v>
      </c>
      <c r="B226" s="39">
        <f>('Engagement Analysis'!A226)/Posts!I226</f>
        <v>5.2566815966924252E-2</v>
      </c>
      <c r="D226" s="43"/>
      <c r="E226" s="23"/>
      <c r="G226" s="4"/>
      <c r="H226" s="4"/>
      <c r="X226" s="23"/>
      <c r="Y226" s="23"/>
    </row>
    <row r="227" spans="1:25">
      <c r="A227" s="17">
        <f>(Posts!F227+Posts!G227+Posts!H227)</f>
        <v>2885</v>
      </c>
      <c r="B227" s="39">
        <f>('Engagement Analysis'!A227)/Posts!I227</f>
        <v>5.2513742764570971E-2</v>
      </c>
      <c r="D227" s="43"/>
      <c r="E227" s="23"/>
      <c r="G227" s="4"/>
      <c r="H227" s="4"/>
      <c r="X227" s="23"/>
      <c r="Y227" s="23"/>
    </row>
    <row r="228" spans="1:25">
      <c r="A228" s="17">
        <f>(Posts!F228+Posts!G228+Posts!H228)</f>
        <v>4585</v>
      </c>
      <c r="B228" s="39">
        <f>('Engagement Analysis'!A228)/Posts!I228</f>
        <v>0.12406981463942633</v>
      </c>
      <c r="D228" s="43"/>
      <c r="E228" s="23"/>
      <c r="G228" s="4"/>
      <c r="H228" s="4"/>
      <c r="X228" s="23"/>
      <c r="Y228" s="23"/>
    </row>
    <row r="229" spans="1:25">
      <c r="A229" s="17">
        <f>(Posts!F229+Posts!G229+Posts!H229)</f>
        <v>1821</v>
      </c>
      <c r="B229" s="39">
        <f>('Engagement Analysis'!A229)/Posts!I229</f>
        <v>3.1839004091338254E-2</v>
      </c>
      <c r="D229" s="43"/>
      <c r="E229" s="23"/>
      <c r="G229" s="4"/>
      <c r="H229" s="4"/>
      <c r="X229" s="23"/>
      <c r="Y229" s="23"/>
    </row>
    <row r="230" spans="1:25">
      <c r="A230" s="17">
        <f>(Posts!F230+Posts!G230+Posts!H230)</f>
        <v>5228</v>
      </c>
      <c r="B230" s="39">
        <f>('Engagement Analysis'!A230)/Posts!I230</f>
        <v>9.191926295801392E-2</v>
      </c>
      <c r="D230" s="43"/>
      <c r="E230" s="23"/>
      <c r="G230" s="4"/>
      <c r="H230" s="4"/>
      <c r="X230" s="23"/>
      <c r="Y230" s="23"/>
    </row>
    <row r="231" spans="1:25">
      <c r="A231" s="17">
        <f>(Posts!F231+Posts!G231+Posts!H231)</f>
        <v>2358</v>
      </c>
      <c r="B231" s="39">
        <f>('Engagement Analysis'!A231)/Posts!I231</f>
        <v>4.9646286003031836E-2</v>
      </c>
      <c r="D231" s="43"/>
      <c r="E231" s="23"/>
      <c r="G231" s="4"/>
      <c r="H231" s="4"/>
      <c r="X231" s="23"/>
      <c r="Y231" s="23"/>
    </row>
    <row r="232" spans="1:25">
      <c r="A232" s="17">
        <f>(Posts!F232+Posts!G232+Posts!H232)</f>
        <v>2020</v>
      </c>
      <c r="B232" s="39">
        <f>('Engagement Analysis'!A232)/Posts!I232</f>
        <v>6.76784936509532E-2</v>
      </c>
      <c r="D232" s="43"/>
      <c r="E232" s="23"/>
      <c r="G232" s="4"/>
      <c r="H232" s="4"/>
      <c r="X232" s="23"/>
      <c r="Y232" s="23"/>
    </row>
    <row r="233" spans="1:25">
      <c r="A233" s="17">
        <f>(Posts!F233+Posts!G233+Posts!H233)</f>
        <v>4900</v>
      </c>
      <c r="B233" s="39">
        <f>('Engagement Analysis'!A233)/Posts!I233</f>
        <v>0.10985069273191947</v>
      </c>
      <c r="D233" s="43"/>
      <c r="E233" s="23"/>
      <c r="G233" s="4"/>
      <c r="H233" s="4"/>
      <c r="X233" s="23"/>
      <c r="Y233" s="23"/>
    </row>
    <row r="234" spans="1:25">
      <c r="A234" s="17">
        <f>(Posts!F234+Posts!G234+Posts!H234)</f>
        <v>3152</v>
      </c>
      <c r="B234" s="39">
        <f>('Engagement Analysis'!A234)/Posts!I234</f>
        <v>8.0741841282852611E-2</v>
      </c>
      <c r="D234" s="43"/>
      <c r="E234" s="23"/>
      <c r="G234" s="4"/>
      <c r="H234" s="4"/>
      <c r="X234" s="23"/>
      <c r="Y234" s="23"/>
    </row>
    <row r="235" spans="1:25">
      <c r="A235" s="17">
        <f>(Posts!F235+Posts!G235+Posts!H235)</f>
        <v>4219</v>
      </c>
      <c r="B235" s="39">
        <f>('Engagement Analysis'!A235)/Posts!I235</f>
        <v>0.16790703227603773</v>
      </c>
      <c r="D235" s="43"/>
      <c r="E235" s="23"/>
      <c r="G235" s="4"/>
      <c r="H235" s="4"/>
      <c r="X235" s="23"/>
      <c r="Y235" s="23"/>
    </row>
    <row r="236" spans="1:25">
      <c r="A236" s="17">
        <f>(Posts!F236+Posts!G236+Posts!H236)</f>
        <v>2702</v>
      </c>
      <c r="B236" s="39">
        <f>('Engagement Analysis'!A236)/Posts!I236</f>
        <v>6.4655069273288512E-2</v>
      </c>
      <c r="D236" s="43"/>
      <c r="E236" s="23"/>
      <c r="G236" s="4"/>
      <c r="H236" s="4"/>
      <c r="X236" s="23"/>
      <c r="Y236" s="23"/>
    </row>
    <row r="237" spans="1:25">
      <c r="A237" s="17">
        <f>(Posts!F237+Posts!G237+Posts!H237)</f>
        <v>2960</v>
      </c>
      <c r="B237" s="39">
        <f>('Engagement Analysis'!A237)/Posts!I237</f>
        <v>8.1666436749896543E-2</v>
      </c>
      <c r="D237" s="43"/>
      <c r="E237" s="23"/>
      <c r="G237" s="4"/>
      <c r="H237" s="4"/>
      <c r="X237" s="23"/>
      <c r="Y237" s="23"/>
    </row>
    <row r="238" spans="1:25">
      <c r="A238" s="17">
        <f>(Posts!F238+Posts!G238+Posts!H238)</f>
        <v>5126</v>
      </c>
      <c r="B238" s="39">
        <f>('Engagement Analysis'!A238)/Posts!I238</f>
        <v>0.13077197816215114</v>
      </c>
      <c r="D238" s="43"/>
      <c r="E238" s="23"/>
      <c r="G238" s="4"/>
      <c r="H238" s="4"/>
      <c r="X238" s="23"/>
      <c r="Y238" s="23"/>
    </row>
    <row r="239" spans="1:25">
      <c r="A239" s="17">
        <f>(Posts!F239+Posts!G239+Posts!H239)</f>
        <v>3147</v>
      </c>
      <c r="B239" s="39">
        <f>('Engagement Analysis'!A239)/Posts!I239</f>
        <v>5.3094209744904843E-2</v>
      </c>
      <c r="D239" s="43"/>
      <c r="E239" s="23"/>
      <c r="G239" s="4"/>
      <c r="H239" s="4"/>
      <c r="X239" s="23"/>
      <c r="Y239" s="23"/>
    </row>
    <row r="240" spans="1:25">
      <c r="A240" s="17">
        <f>(Posts!F240+Posts!G240+Posts!H240)</f>
        <v>5622</v>
      </c>
      <c r="B240" s="39">
        <f>('Engagement Analysis'!A240)/Posts!I240</f>
        <v>0.17088145896656534</v>
      </c>
      <c r="D240" s="43"/>
      <c r="E240" s="23"/>
      <c r="G240" s="4"/>
      <c r="H240" s="4"/>
      <c r="X240" s="23"/>
      <c r="Y240" s="23"/>
    </row>
    <row r="241" spans="1:25">
      <c r="A241" s="17">
        <f>(Posts!F241+Posts!G241+Posts!H241)</f>
        <v>5521</v>
      </c>
      <c r="B241" s="39">
        <f>('Engagement Analysis'!A241)/Posts!I241</f>
        <v>0.10547128720437092</v>
      </c>
      <c r="D241" s="43"/>
      <c r="E241" s="23"/>
      <c r="G241" s="4"/>
      <c r="H241" s="4"/>
      <c r="X241" s="23"/>
      <c r="Y241" s="23"/>
    </row>
    <row r="242" spans="1:25">
      <c r="A242" s="17">
        <f>(Posts!F242+Posts!G242+Posts!H242)</f>
        <v>2570</v>
      </c>
      <c r="B242" s="39">
        <f>('Engagement Analysis'!A242)/Posts!I242</f>
        <v>4.819683813738912E-2</v>
      </c>
      <c r="D242" s="43"/>
      <c r="E242" s="23"/>
      <c r="G242" s="4"/>
      <c r="H242" s="4"/>
      <c r="X242" s="23"/>
      <c r="Y242" s="23"/>
    </row>
    <row r="243" spans="1:25">
      <c r="A243" s="17">
        <f>(Posts!F243+Posts!G243+Posts!H243)</f>
        <v>4796</v>
      </c>
      <c r="B243" s="39">
        <f>('Engagement Analysis'!A243)/Posts!I243</f>
        <v>0.13404136389044158</v>
      </c>
      <c r="D243" s="43"/>
      <c r="E243" s="23"/>
      <c r="G243" s="4"/>
      <c r="H243" s="4"/>
      <c r="X243" s="23"/>
      <c r="Y243" s="23"/>
    </row>
    <row r="244" spans="1:25">
      <c r="A244" s="17">
        <f>(Posts!F244+Posts!G244+Posts!H244)</f>
        <v>2740</v>
      </c>
      <c r="B244" s="39">
        <f>('Engagement Analysis'!A244)/Posts!I244</f>
        <v>9.8193807339449546E-2</v>
      </c>
      <c r="D244" s="43"/>
      <c r="E244" s="23"/>
      <c r="G244" s="4"/>
      <c r="H244" s="4"/>
      <c r="X244" s="23"/>
      <c r="Y244" s="23"/>
    </row>
    <row r="245" spans="1:25">
      <c r="A245" s="17">
        <f>(Posts!F245+Posts!G245+Posts!H245)</f>
        <v>4972</v>
      </c>
      <c r="B245" s="39">
        <f>('Engagement Analysis'!A245)/Posts!I245</f>
        <v>8.6517714206166912E-2</v>
      </c>
      <c r="D245" s="43"/>
      <c r="E245" s="23"/>
      <c r="G245" s="4"/>
      <c r="H245" s="4"/>
      <c r="X245" s="23"/>
      <c r="Y245" s="23"/>
    </row>
    <row r="246" spans="1:25">
      <c r="A246" s="17">
        <f>(Posts!F246+Posts!G246+Posts!H246)</f>
        <v>4305</v>
      </c>
      <c r="B246" s="39">
        <f>('Engagement Analysis'!A246)/Posts!I246</f>
        <v>9.2712236723090841E-2</v>
      </c>
      <c r="D246" s="43"/>
      <c r="E246" s="23"/>
      <c r="G246" s="4"/>
      <c r="H246" s="4"/>
      <c r="X246" s="23"/>
      <c r="Y246" s="23"/>
    </row>
    <row r="247" spans="1:25">
      <c r="A247" s="17">
        <f>(Posts!F247+Posts!G247+Posts!H247)</f>
        <v>3407</v>
      </c>
      <c r="B247" s="39">
        <f>('Engagement Analysis'!A247)/Posts!I247</f>
        <v>0.16477245248343569</v>
      </c>
      <c r="D247" s="43"/>
      <c r="E247" s="23"/>
      <c r="G247" s="4"/>
      <c r="H247" s="4"/>
      <c r="X247" s="23"/>
      <c r="Y247" s="23"/>
    </row>
    <row r="248" spans="1:25">
      <c r="A248" s="17">
        <f>(Posts!F248+Posts!G248+Posts!H248)</f>
        <v>4051</v>
      </c>
      <c r="B248" s="39">
        <f>('Engagement Analysis'!A248)/Posts!I248</f>
        <v>7.1354340971940891E-2</v>
      </c>
      <c r="D248" s="43"/>
      <c r="E248" s="23"/>
      <c r="G248" s="4"/>
      <c r="H248" s="4"/>
      <c r="X248" s="23"/>
      <c r="Y248" s="23"/>
    </row>
    <row r="249" spans="1:25">
      <c r="A249" s="17">
        <f>(Posts!F249+Posts!G249+Posts!H249)</f>
        <v>5376</v>
      </c>
      <c r="B249" s="39">
        <f>('Engagement Analysis'!A249)/Posts!I249</f>
        <v>0.19261223173659131</v>
      </c>
      <c r="D249" s="43"/>
      <c r="E249" s="23"/>
      <c r="G249" s="4"/>
      <c r="H249" s="4"/>
      <c r="X249" s="23"/>
      <c r="Y249" s="23"/>
    </row>
    <row r="250" spans="1:25">
      <c r="A250" s="17">
        <f>(Posts!F250+Posts!G250+Posts!H250)</f>
        <v>3899</v>
      </c>
      <c r="B250" s="39">
        <f>('Engagement Analysis'!A250)/Posts!I250</f>
        <v>0.14674444862627023</v>
      </c>
      <c r="D250" s="43"/>
      <c r="E250" s="23"/>
      <c r="G250" s="4"/>
      <c r="H250" s="4"/>
      <c r="X250" s="23"/>
      <c r="Y250" s="23"/>
    </row>
    <row r="251" spans="1:25">
      <c r="A251" s="17">
        <f>(Posts!F251+Posts!G251+Posts!H251)</f>
        <v>5303</v>
      </c>
      <c r="B251" s="39">
        <f>('Engagement Analysis'!A251)/Posts!I251</f>
        <v>0.17799483100057059</v>
      </c>
      <c r="D251" s="43"/>
      <c r="E251" s="23"/>
      <c r="G251" s="4"/>
      <c r="H251" s="4"/>
      <c r="X251" s="23"/>
      <c r="Y251" s="23"/>
    </row>
    <row r="252" spans="1:25">
      <c r="A252" s="17">
        <f>(Posts!F252+Posts!G252+Posts!H252)</f>
        <v>2559</v>
      </c>
      <c r="B252" s="39">
        <f>('Engagement Analysis'!A252)/Posts!I252</f>
        <v>4.4258807658382193E-2</v>
      </c>
      <c r="D252" s="43"/>
      <c r="E252" s="23"/>
      <c r="G252" s="4"/>
      <c r="H252" s="4"/>
      <c r="X252" s="23"/>
      <c r="Y252" s="23"/>
    </row>
    <row r="253" spans="1:25">
      <c r="A253" s="17">
        <f>(Posts!F253+Posts!G253+Posts!H253)</f>
        <v>4942</v>
      </c>
      <c r="B253" s="39">
        <f>('Engagement Analysis'!A253)/Posts!I253</f>
        <v>0.10762898272970794</v>
      </c>
      <c r="D253" s="43"/>
      <c r="E253" s="23"/>
      <c r="G253" s="4"/>
      <c r="H253" s="4"/>
      <c r="X253" s="23"/>
      <c r="Y253" s="23"/>
    </row>
    <row r="254" spans="1:25">
      <c r="A254" s="17">
        <f>(Posts!F254+Posts!G254+Posts!H254)</f>
        <v>2481</v>
      </c>
      <c r="B254" s="39">
        <f>('Engagement Analysis'!A254)/Posts!I254</f>
        <v>5.0121212121212122E-2</v>
      </c>
      <c r="D254" s="43"/>
      <c r="E254" s="23"/>
      <c r="G254" s="4"/>
      <c r="H254" s="4"/>
      <c r="X254" s="23"/>
      <c r="Y254" s="23"/>
    </row>
    <row r="255" spans="1:25">
      <c r="A255" s="17">
        <f>(Posts!F255+Posts!G255+Posts!H255)</f>
        <v>5320</v>
      </c>
      <c r="B255" s="39">
        <f>('Engagement Analysis'!A255)/Posts!I255</f>
        <v>0.15451192239551567</v>
      </c>
      <c r="D255" s="43"/>
      <c r="E255" s="23"/>
      <c r="G255" s="4"/>
      <c r="H255" s="4"/>
      <c r="X255" s="23"/>
      <c r="Y255" s="23"/>
    </row>
    <row r="256" spans="1:25">
      <c r="A256" s="17">
        <f>(Posts!F256+Posts!G256+Posts!H256)</f>
        <v>2836</v>
      </c>
      <c r="B256" s="39">
        <f>('Engagement Analysis'!A256)/Posts!I256</f>
        <v>5.7503193495407452E-2</v>
      </c>
      <c r="D256" s="43"/>
      <c r="E256" s="23"/>
      <c r="G256" s="4"/>
      <c r="H256" s="4"/>
      <c r="X256" s="23"/>
      <c r="Y256" s="23"/>
    </row>
    <row r="257" spans="1:25">
      <c r="A257" s="17">
        <f>(Posts!F257+Posts!G257+Posts!H257)</f>
        <v>2754</v>
      </c>
      <c r="B257" s="39">
        <f>('Engagement Analysis'!A257)/Posts!I257</f>
        <v>5.2312660271630736E-2</v>
      </c>
      <c r="D257" s="43"/>
      <c r="E257" s="23"/>
      <c r="G257" s="4"/>
      <c r="H257" s="4"/>
      <c r="X257" s="23"/>
      <c r="Y257" s="23"/>
    </row>
    <row r="258" spans="1:25">
      <c r="A258" s="17">
        <f>(Posts!F258+Posts!G258+Posts!H258)</f>
        <v>3825</v>
      </c>
      <c r="B258" s="39">
        <f>('Engagement Analysis'!A258)/Posts!I258</f>
        <v>8.5608773500447627E-2</v>
      </c>
      <c r="D258" s="43"/>
      <c r="E258" s="23"/>
      <c r="G258" s="4"/>
      <c r="H258" s="4"/>
      <c r="X258" s="23"/>
      <c r="Y258" s="23"/>
    </row>
    <row r="259" spans="1:25">
      <c r="A259" s="17">
        <f>(Posts!F259+Posts!G259+Posts!H259)</f>
        <v>1787</v>
      </c>
      <c r="B259" s="39">
        <f>('Engagement Analysis'!A259)/Posts!I259</f>
        <v>3.3729709324273313E-2</v>
      </c>
      <c r="D259" s="43"/>
      <c r="E259" s="23"/>
      <c r="G259" s="4"/>
      <c r="H259" s="4"/>
      <c r="X259" s="23"/>
      <c r="Y259" s="23"/>
    </row>
    <row r="260" spans="1:25">
      <c r="A260" s="17">
        <f>(Posts!F260+Posts!G260+Posts!H260)</f>
        <v>2413</v>
      </c>
      <c r="B260" s="39">
        <f>('Engagement Analysis'!A260)/Posts!I260</f>
        <v>7.5077784691972627E-2</v>
      </c>
      <c r="D260" s="43"/>
      <c r="E260" s="23"/>
      <c r="G260" s="4"/>
      <c r="H260" s="4"/>
      <c r="X260" s="23"/>
      <c r="Y260" s="23"/>
    </row>
    <row r="261" spans="1:25">
      <c r="A261" s="17">
        <f>(Posts!F261+Posts!G261+Posts!H261)</f>
        <v>3618</v>
      </c>
      <c r="B261" s="39">
        <f>('Engagement Analysis'!A261)/Posts!I261</f>
        <v>8.3423643616408028E-2</v>
      </c>
      <c r="D261" s="43"/>
      <c r="E261" s="23"/>
      <c r="G261" s="4"/>
      <c r="H261" s="4"/>
      <c r="X261" s="23"/>
      <c r="Y261" s="23"/>
    </row>
    <row r="262" spans="1:25">
      <c r="A262" s="17">
        <f>(Posts!F262+Posts!G262+Posts!H262)</f>
        <v>3543</v>
      </c>
      <c r="B262" s="39">
        <f>('Engagement Analysis'!A262)/Posts!I262</f>
        <v>6.8477000386548123E-2</v>
      </c>
      <c r="D262" s="43"/>
      <c r="E262" s="23"/>
      <c r="G262" s="4"/>
      <c r="H262" s="4"/>
      <c r="X262" s="23"/>
      <c r="Y262" s="23"/>
    </row>
    <row r="263" spans="1:25">
      <c r="A263" s="17">
        <f>(Posts!F263+Posts!G263+Posts!H263)</f>
        <v>5411</v>
      </c>
      <c r="B263" s="39">
        <f>('Engagement Analysis'!A263)/Posts!I263</f>
        <v>0.12190780876853062</v>
      </c>
      <c r="D263" s="43"/>
      <c r="E263" s="23"/>
      <c r="G263" s="4"/>
      <c r="H263" s="4"/>
      <c r="X263" s="23"/>
      <c r="Y263" s="23"/>
    </row>
    <row r="264" spans="1:25">
      <c r="A264" s="17">
        <f>(Posts!F264+Posts!G264+Posts!H264)</f>
        <v>2811</v>
      </c>
      <c r="B264" s="39">
        <f>('Engagement Analysis'!A264)/Posts!I264</f>
        <v>5.4473577117609438E-2</v>
      </c>
      <c r="D264" s="43"/>
      <c r="E264" s="23"/>
      <c r="G264" s="4"/>
      <c r="H264" s="4"/>
      <c r="X264" s="23"/>
      <c r="Y264" s="23"/>
    </row>
    <row r="265" spans="1:25">
      <c r="A265" s="17">
        <f>(Posts!F265+Posts!G265+Posts!H265)</f>
        <v>2563</v>
      </c>
      <c r="B265" s="39">
        <f>('Engagement Analysis'!A265)/Posts!I265</f>
        <v>5.4859907104176028E-2</v>
      </c>
      <c r="D265" s="43"/>
      <c r="E265" s="23"/>
      <c r="G265" s="4"/>
      <c r="H265" s="4"/>
      <c r="X265" s="23"/>
      <c r="Y265" s="23"/>
    </row>
    <row r="266" spans="1:25">
      <c r="A266" s="17">
        <f>(Posts!F266+Posts!G266+Posts!H266)</f>
        <v>4545</v>
      </c>
      <c r="B266" s="39">
        <f>('Engagement Analysis'!A266)/Posts!I266</f>
        <v>9.0752980172121162E-2</v>
      </c>
      <c r="D266" s="43"/>
      <c r="E266" s="23"/>
      <c r="G266" s="4"/>
      <c r="H266" s="4"/>
      <c r="X266" s="23"/>
      <c r="Y266" s="23"/>
    </row>
    <row r="267" spans="1:25">
      <c r="A267" s="17">
        <f>(Posts!F267+Posts!G267+Posts!H267)</f>
        <v>3010</v>
      </c>
      <c r="B267" s="39">
        <f>('Engagement Analysis'!A267)/Posts!I267</f>
        <v>0.11695224773672146</v>
      </c>
      <c r="D267" s="43"/>
      <c r="E267" s="23"/>
      <c r="G267" s="4"/>
      <c r="H267" s="4"/>
      <c r="X267" s="23"/>
      <c r="Y267" s="23"/>
    </row>
    <row r="268" spans="1:25">
      <c r="A268" s="17">
        <f>(Posts!F268+Posts!G268+Posts!H268)</f>
        <v>2957</v>
      </c>
      <c r="B268" s="39">
        <f>('Engagement Analysis'!A268)/Posts!I268</f>
        <v>6.1279893894806647E-2</v>
      </c>
      <c r="D268" s="43"/>
      <c r="E268" s="23"/>
      <c r="G268" s="4"/>
      <c r="H268" s="4"/>
      <c r="X268" s="23"/>
      <c r="Y268" s="23"/>
    </row>
    <row r="269" spans="1:25">
      <c r="A269" s="17">
        <f>(Posts!F269+Posts!G269+Posts!H269)</f>
        <v>3354</v>
      </c>
      <c r="B269" s="39">
        <f>('Engagement Analysis'!A269)/Posts!I269</f>
        <v>7.3202671439172376E-2</v>
      </c>
      <c r="D269" s="43"/>
      <c r="E269" s="23"/>
      <c r="G269" s="4"/>
      <c r="H269" s="4"/>
      <c r="X269" s="23"/>
      <c r="Y269" s="23"/>
    </row>
    <row r="270" spans="1:25">
      <c r="A270" s="17">
        <f>(Posts!F270+Posts!G270+Posts!H270)</f>
        <v>5293</v>
      </c>
      <c r="B270" s="39">
        <f>('Engagement Analysis'!A270)/Posts!I270</f>
        <v>9.2893873181347508E-2</v>
      </c>
      <c r="D270" s="43"/>
      <c r="E270" s="23"/>
      <c r="G270" s="4"/>
      <c r="H270" s="4"/>
      <c r="X270" s="23"/>
      <c r="Y270" s="23"/>
    </row>
    <row r="271" spans="1:25">
      <c r="A271" s="17">
        <f>(Posts!F271+Posts!G271+Posts!H271)</f>
        <v>1980</v>
      </c>
      <c r="B271" s="39">
        <f>('Engagement Analysis'!A271)/Posts!I271</f>
        <v>3.3603177027646251E-2</v>
      </c>
      <c r="D271" s="43"/>
      <c r="E271" s="23"/>
      <c r="G271" s="4"/>
      <c r="H271" s="4"/>
      <c r="X271" s="23"/>
      <c r="Y271" s="23"/>
    </row>
    <row r="272" spans="1:25">
      <c r="A272" s="17">
        <f>(Posts!F272+Posts!G272+Posts!H272)</f>
        <v>3535</v>
      </c>
      <c r="B272" s="39">
        <f>('Engagement Analysis'!A272)/Posts!I272</f>
        <v>0.14843585975225698</v>
      </c>
      <c r="D272" s="43"/>
      <c r="E272" s="23"/>
      <c r="G272" s="4"/>
      <c r="H272" s="4"/>
      <c r="X272" s="23"/>
      <c r="Y272" s="23"/>
    </row>
    <row r="273" spans="1:25">
      <c r="A273" s="17">
        <f>(Posts!F273+Posts!G273+Posts!H273)</f>
        <v>2952</v>
      </c>
      <c r="B273" s="39">
        <f>('Engagement Analysis'!A273)/Posts!I273</f>
        <v>5.1861351697967357E-2</v>
      </c>
      <c r="D273" s="43"/>
      <c r="E273" s="23"/>
      <c r="G273" s="4"/>
      <c r="H273" s="4"/>
      <c r="X273" s="23"/>
      <c r="Y273" s="23"/>
    </row>
    <row r="274" spans="1:25">
      <c r="A274" s="17">
        <f>(Posts!F274+Posts!G274+Posts!H274)</f>
        <v>3383</v>
      </c>
      <c r="B274" s="39">
        <f>('Engagement Analysis'!A274)/Posts!I274</f>
        <v>6.6160796354604659E-2</v>
      </c>
      <c r="D274" s="43"/>
      <c r="E274" s="23"/>
      <c r="G274" s="4"/>
      <c r="H274" s="4"/>
      <c r="X274" s="23"/>
      <c r="Y274" s="23"/>
    </row>
    <row r="275" spans="1:25">
      <c r="A275" s="17">
        <f>(Posts!F275+Posts!G275+Posts!H275)</f>
        <v>2730</v>
      </c>
      <c r="B275" s="39">
        <f>('Engagement Analysis'!A275)/Posts!I275</f>
        <v>5.4638246772740921E-2</v>
      </c>
      <c r="D275" s="43"/>
      <c r="E275" s="23"/>
      <c r="G275" s="4"/>
      <c r="H275" s="4"/>
      <c r="X275" s="23"/>
      <c r="Y275" s="23"/>
    </row>
    <row r="276" spans="1:25">
      <c r="A276" s="17">
        <f>(Posts!F276+Posts!G276+Posts!H276)</f>
        <v>5510</v>
      </c>
      <c r="B276" s="39">
        <f>('Engagement Analysis'!A276)/Posts!I276</f>
        <v>9.4139757389372969E-2</v>
      </c>
      <c r="D276" s="43"/>
      <c r="E276" s="23"/>
      <c r="G276" s="4"/>
      <c r="H276" s="4"/>
      <c r="X276" s="23"/>
      <c r="Y276" s="23"/>
    </row>
    <row r="277" spans="1:25">
      <c r="A277" s="17">
        <f>(Posts!F277+Posts!G277+Posts!H277)</f>
        <v>2727</v>
      </c>
      <c r="B277" s="39">
        <f>('Engagement Analysis'!A277)/Posts!I277</f>
        <v>5.7682545054573146E-2</v>
      </c>
      <c r="D277" s="43"/>
      <c r="E277" s="23"/>
      <c r="G277" s="4"/>
      <c r="H277" s="4"/>
      <c r="X277" s="23"/>
      <c r="Y277" s="23"/>
    </row>
    <row r="278" spans="1:25">
      <c r="A278" s="17">
        <f>(Posts!F278+Posts!G278+Posts!H278)</f>
        <v>1960</v>
      </c>
      <c r="B278" s="39">
        <f>('Engagement Analysis'!A278)/Posts!I278</f>
        <v>8.3972409065592737E-2</v>
      </c>
      <c r="D278" s="43"/>
      <c r="E278" s="23"/>
      <c r="G278" s="4"/>
      <c r="H278" s="4"/>
      <c r="X278" s="23"/>
      <c r="Y278" s="23"/>
    </row>
    <row r="279" spans="1:25">
      <c r="A279" s="17">
        <f>(Posts!F279+Posts!G279+Posts!H279)</f>
        <v>3731</v>
      </c>
      <c r="B279" s="39">
        <f>('Engagement Analysis'!A279)/Posts!I279</f>
        <v>6.6186514342481059E-2</v>
      </c>
      <c r="D279" s="43"/>
      <c r="E279" s="23"/>
      <c r="G279" s="4"/>
      <c r="H279" s="4"/>
      <c r="X279" s="23"/>
      <c r="Y279" s="23"/>
    </row>
    <row r="280" spans="1:25">
      <c r="A280" s="17">
        <f>(Posts!F280+Posts!G280+Posts!H280)</f>
        <v>4173</v>
      </c>
      <c r="B280" s="39">
        <f>('Engagement Analysis'!A280)/Posts!I280</f>
        <v>0.20445859872611466</v>
      </c>
      <c r="D280" s="43"/>
      <c r="E280" s="23"/>
      <c r="G280" s="4"/>
      <c r="H280" s="4"/>
      <c r="X280" s="23"/>
      <c r="Y280" s="23"/>
    </row>
    <row r="281" spans="1:25">
      <c r="A281" s="17">
        <f>(Posts!F281+Posts!G281+Posts!H281)</f>
        <v>5037</v>
      </c>
      <c r="B281" s="39">
        <f>('Engagement Analysis'!A281)/Posts!I281</f>
        <v>0.1122776514644911</v>
      </c>
      <c r="D281" s="43"/>
      <c r="E281" s="23"/>
      <c r="G281" s="4"/>
      <c r="H281" s="4"/>
      <c r="X281" s="23"/>
      <c r="Y281" s="23"/>
    </row>
    <row r="282" spans="1:25">
      <c r="A282" s="17">
        <f>(Posts!F282+Posts!G282+Posts!H282)</f>
        <v>5593</v>
      </c>
      <c r="B282" s="39">
        <f>('Engagement Analysis'!A282)/Posts!I282</f>
        <v>9.8640235621946709E-2</v>
      </c>
      <c r="D282" s="43"/>
      <c r="E282" s="23"/>
      <c r="G282" s="4"/>
      <c r="H282" s="4"/>
      <c r="X282" s="23"/>
      <c r="Y282" s="23"/>
    </row>
    <row r="283" spans="1:25">
      <c r="A283" s="17">
        <f>(Posts!F283+Posts!G283+Posts!H283)</f>
        <v>3191</v>
      </c>
      <c r="B283" s="39">
        <f>('Engagement Analysis'!A283)/Posts!I283</f>
        <v>5.4576862557296296E-2</v>
      </c>
      <c r="D283" s="43"/>
      <c r="E283" s="23"/>
      <c r="G283" s="4"/>
      <c r="H283" s="4"/>
      <c r="X283" s="23"/>
      <c r="Y283" s="23"/>
    </row>
    <row r="284" spans="1:25">
      <c r="A284" s="17">
        <f>(Posts!F284+Posts!G284+Posts!H284)</f>
        <v>4836</v>
      </c>
      <c r="B284" s="39">
        <f>('Engagement Analysis'!A284)/Posts!I284</f>
        <v>8.628318584070796E-2</v>
      </c>
      <c r="D284" s="43"/>
      <c r="E284" s="23"/>
      <c r="G284" s="4"/>
      <c r="H284" s="4"/>
      <c r="X284" s="23"/>
      <c r="Y284" s="23"/>
    </row>
    <row r="285" spans="1:25">
      <c r="A285" s="17">
        <f>(Posts!F285+Posts!G285+Posts!H285)</f>
        <v>2325</v>
      </c>
      <c r="B285" s="39">
        <f>('Engagement Analysis'!A285)/Posts!I285</f>
        <v>8.4056399132321047E-2</v>
      </c>
      <c r="D285" s="43"/>
      <c r="E285" s="23"/>
      <c r="G285" s="4"/>
      <c r="H285" s="4"/>
      <c r="X285" s="23"/>
      <c r="Y285" s="23"/>
    </row>
    <row r="286" spans="1:25">
      <c r="A286" s="17">
        <f>(Posts!F286+Posts!G286+Posts!H286)</f>
        <v>1948</v>
      </c>
      <c r="B286" s="39">
        <f>('Engagement Analysis'!A286)/Posts!I286</f>
        <v>3.4229485151994379E-2</v>
      </c>
      <c r="D286" s="43"/>
      <c r="E286" s="23"/>
      <c r="G286" s="4"/>
      <c r="H286" s="4"/>
      <c r="X286" s="23"/>
      <c r="Y286" s="23"/>
    </row>
    <row r="287" spans="1:25">
      <c r="A287" s="17">
        <f>(Posts!F287+Posts!G287+Posts!H287)</f>
        <v>3883</v>
      </c>
      <c r="B287" s="39">
        <f>('Engagement Analysis'!A287)/Posts!I287</f>
        <v>0.11467469950680724</v>
      </c>
      <c r="D287" s="43"/>
      <c r="E287" s="23"/>
      <c r="G287" s="4"/>
      <c r="H287" s="4"/>
      <c r="X287" s="23"/>
      <c r="Y287" s="23"/>
    </row>
    <row r="288" spans="1:25">
      <c r="A288" s="17">
        <f>(Posts!F288+Posts!G288+Posts!H288)</f>
        <v>2580</v>
      </c>
      <c r="B288" s="39">
        <f>('Engagement Analysis'!A288)/Posts!I288</f>
        <v>8.4548582664263475E-2</v>
      </c>
      <c r="D288" s="43"/>
      <c r="E288" s="23"/>
      <c r="G288" s="4"/>
      <c r="H288" s="4"/>
      <c r="X288" s="23"/>
      <c r="Y288" s="23"/>
    </row>
    <row r="289" spans="1:25">
      <c r="A289" s="17">
        <f>(Posts!F289+Posts!G289+Posts!H289)</f>
        <v>5555</v>
      </c>
      <c r="B289" s="39">
        <f>('Engagement Analysis'!A289)/Posts!I289</f>
        <v>0.10546200140489435</v>
      </c>
      <c r="D289" s="43"/>
      <c r="E289" s="23"/>
      <c r="G289" s="4"/>
      <c r="H289" s="4"/>
      <c r="X289" s="23"/>
      <c r="Y289" s="23"/>
    </row>
    <row r="290" spans="1:25">
      <c r="A290" s="17">
        <f>(Posts!F290+Posts!G290+Posts!H290)</f>
        <v>5507</v>
      </c>
      <c r="B290" s="39">
        <f>('Engagement Analysis'!A290)/Posts!I290</f>
        <v>0.10338095327488783</v>
      </c>
      <c r="D290" s="43"/>
      <c r="E290" s="23"/>
      <c r="G290" s="4"/>
      <c r="H290" s="4"/>
      <c r="X290" s="23"/>
      <c r="Y290" s="23"/>
    </row>
    <row r="291" spans="1:25">
      <c r="A291" s="17">
        <f>(Posts!F291+Posts!G291+Posts!H291)</f>
        <v>3746</v>
      </c>
      <c r="B291" s="39">
        <f>('Engagement Analysis'!A291)/Posts!I291</f>
        <v>0.1565595352530614</v>
      </c>
      <c r="D291" s="43"/>
      <c r="E291" s="23"/>
      <c r="G291" s="4"/>
      <c r="H291" s="4"/>
      <c r="X291" s="23"/>
      <c r="Y291" s="23"/>
    </row>
    <row r="292" spans="1:25">
      <c r="A292" s="17">
        <f>(Posts!F292+Posts!G292+Posts!H292)</f>
        <v>2702</v>
      </c>
      <c r="B292" s="39">
        <f>('Engagement Analysis'!A292)/Posts!I292</f>
        <v>5.8052595393606049E-2</v>
      </c>
      <c r="D292" s="43"/>
      <c r="E292" s="23"/>
      <c r="G292" s="4"/>
      <c r="H292" s="4"/>
      <c r="X292" s="23"/>
      <c r="Y292" s="23"/>
    </row>
    <row r="293" spans="1:25">
      <c r="A293" s="17">
        <f>(Posts!F293+Posts!G293+Posts!H293)</f>
        <v>3457</v>
      </c>
      <c r="B293" s="39">
        <f>('Engagement Analysis'!A293)/Posts!I293</f>
        <v>0.12976726726726726</v>
      </c>
      <c r="D293" s="43"/>
      <c r="E293" s="23"/>
      <c r="G293" s="4"/>
      <c r="H293" s="4"/>
      <c r="X293" s="23"/>
      <c r="Y293" s="23"/>
    </row>
    <row r="294" spans="1:25">
      <c r="A294" s="17">
        <f>(Posts!F294+Posts!G294+Posts!H294)</f>
        <v>1859</v>
      </c>
      <c r="B294" s="39">
        <f>('Engagement Analysis'!A294)/Posts!I294</f>
        <v>4.4999031758326875E-2</v>
      </c>
      <c r="D294" s="43"/>
      <c r="E294" s="23"/>
      <c r="G294" s="4"/>
      <c r="H294" s="4"/>
      <c r="X294" s="23"/>
      <c r="Y294" s="23"/>
    </row>
    <row r="295" spans="1:25">
      <c r="A295" s="17">
        <f>(Posts!F295+Posts!G295+Posts!H295)</f>
        <v>1884</v>
      </c>
      <c r="B295" s="39">
        <f>('Engagement Analysis'!A295)/Posts!I295</f>
        <v>3.221173574066475E-2</v>
      </c>
      <c r="D295" s="43"/>
      <c r="E295" s="23"/>
      <c r="G295" s="4"/>
      <c r="H295" s="4"/>
      <c r="X295" s="23"/>
      <c r="Y295" s="23"/>
    </row>
    <row r="296" spans="1:25">
      <c r="A296" s="17">
        <f>(Posts!F296+Posts!G296+Posts!H296)</f>
        <v>2867</v>
      </c>
      <c r="B296" s="39">
        <f>('Engagement Analysis'!A296)/Posts!I296</f>
        <v>0.1109777812185492</v>
      </c>
      <c r="D296" s="43"/>
      <c r="E296" s="23"/>
      <c r="G296" s="4"/>
      <c r="H296" s="4"/>
      <c r="X296" s="23"/>
      <c r="Y296" s="23"/>
    </row>
    <row r="297" spans="1:25">
      <c r="A297" s="17">
        <f>(Posts!F297+Posts!G297+Posts!H297)</f>
        <v>3576</v>
      </c>
      <c r="B297" s="39">
        <f>('Engagement Analysis'!A297)/Posts!I297</f>
        <v>0.1191007493755204</v>
      </c>
      <c r="D297" s="43"/>
      <c r="E297" s="23"/>
      <c r="G297" s="4"/>
      <c r="H297" s="4"/>
      <c r="X297" s="23"/>
      <c r="Y297" s="23"/>
    </row>
    <row r="298" spans="1:25">
      <c r="A298" s="17">
        <f>(Posts!F298+Posts!G298+Posts!H298)</f>
        <v>3095</v>
      </c>
      <c r="B298" s="39">
        <f>('Engagement Analysis'!A298)/Posts!I298</f>
        <v>5.9775576027966085E-2</v>
      </c>
      <c r="D298" s="43"/>
      <c r="E298" s="23"/>
      <c r="G298" s="4"/>
      <c r="H298" s="4"/>
      <c r="X298" s="23"/>
      <c r="Y298" s="23"/>
    </row>
    <row r="299" spans="1:25">
      <c r="A299" s="17">
        <f>(Posts!F299+Posts!G299+Posts!H299)</f>
        <v>2685</v>
      </c>
      <c r="B299" s="39">
        <f>('Engagement Analysis'!A299)/Posts!I299</f>
        <v>6.1064362065044349E-2</v>
      </c>
      <c r="D299" s="43"/>
      <c r="E299" s="23"/>
      <c r="G299" s="4"/>
      <c r="H299" s="4"/>
      <c r="X299" s="23"/>
      <c r="Y299" s="23"/>
    </row>
    <row r="300" spans="1:25">
      <c r="A300" s="17">
        <f>(Posts!F300+Posts!G300+Posts!H300)</f>
        <v>2882</v>
      </c>
      <c r="B300" s="39">
        <f>('Engagement Analysis'!A300)/Posts!I300</f>
        <v>5.5797564422760453E-2</v>
      </c>
      <c r="D300" s="43"/>
      <c r="E300" s="23"/>
      <c r="G300" s="4"/>
      <c r="H300" s="4"/>
      <c r="X300" s="23"/>
      <c r="Y300" s="23"/>
    </row>
    <row r="301" spans="1:25">
      <c r="A301" s="17">
        <f>(Posts!F301+Posts!G301+Posts!H301)</f>
        <v>2712</v>
      </c>
      <c r="B301" s="39">
        <f>('Engagement Analysis'!A301)/Posts!I301</f>
        <v>9.4300914496331587E-2</v>
      </c>
      <c r="D301" s="43"/>
      <c r="E301" s="23"/>
      <c r="G301" s="4"/>
      <c r="H301" s="4"/>
      <c r="X301" s="23"/>
      <c r="Y301" s="23"/>
    </row>
    <row r="302" spans="1:25">
      <c r="A302" s="18"/>
      <c r="B302" s="19"/>
      <c r="D302" s="2"/>
      <c r="E302" s="2"/>
    </row>
    <row r="303" spans="1:25">
      <c r="A303" s="18"/>
      <c r="B303" s="19"/>
      <c r="D303" s="2"/>
      <c r="E303" s="2"/>
    </row>
    <row r="304" spans="1:25">
      <c r="A304" s="18"/>
      <c r="B304" s="19"/>
      <c r="D304" s="2"/>
      <c r="E304" s="2"/>
    </row>
    <row r="305" spans="1:5">
      <c r="A305" s="18"/>
      <c r="B305" s="19"/>
      <c r="D305" s="2"/>
      <c r="E305" s="2"/>
    </row>
    <row r="306" spans="1:5">
      <c r="A306" s="18"/>
      <c r="B306" s="19"/>
      <c r="D306" s="2"/>
      <c r="E306" s="2"/>
    </row>
    <row r="307" spans="1:5">
      <c r="A307" s="18"/>
      <c r="B307" s="19"/>
      <c r="D307" s="2"/>
      <c r="E307" s="2"/>
    </row>
    <row r="308" spans="1:5">
      <c r="A308" s="18"/>
      <c r="B308" s="19"/>
      <c r="D308" s="2"/>
      <c r="E308" s="2"/>
    </row>
    <row r="309" spans="1:5">
      <c r="A309" s="18"/>
      <c r="B309" s="19"/>
      <c r="D309" s="2"/>
      <c r="E309" s="2"/>
    </row>
    <row r="310" spans="1:5">
      <c r="A310" s="18"/>
      <c r="B310" s="19"/>
      <c r="D310" s="2"/>
      <c r="E310" s="2"/>
    </row>
    <row r="311" spans="1:5">
      <c r="A311" s="18"/>
      <c r="B311" s="19"/>
      <c r="D311" s="2"/>
      <c r="E311" s="2"/>
    </row>
    <row r="312" spans="1:5">
      <c r="A312" s="18"/>
      <c r="B312" s="19"/>
      <c r="D312" s="2"/>
      <c r="E312" s="2"/>
    </row>
    <row r="313" spans="1:5">
      <c r="A313" s="18"/>
      <c r="B313" s="19"/>
      <c r="D313" s="2"/>
      <c r="E313" s="2"/>
    </row>
    <row r="314" spans="1:5">
      <c r="A314" s="18"/>
      <c r="B314" s="19"/>
      <c r="D314" s="2"/>
      <c r="E314" s="2"/>
    </row>
    <row r="315" spans="1:5">
      <c r="A315" s="18"/>
      <c r="B315" s="19"/>
      <c r="D315" s="2"/>
      <c r="E315" s="2"/>
    </row>
    <row r="316" spans="1:5">
      <c r="A316" s="18"/>
      <c r="B316" s="19"/>
      <c r="D316" s="2"/>
      <c r="E316" s="2"/>
    </row>
    <row r="317" spans="1:5">
      <c r="A317" s="18"/>
      <c r="B317" s="19"/>
      <c r="D317" s="2"/>
      <c r="E317" s="2"/>
    </row>
    <row r="318" spans="1:5">
      <c r="A318" s="18"/>
      <c r="B318" s="19"/>
      <c r="D318" s="2"/>
      <c r="E318" s="2"/>
    </row>
    <row r="319" spans="1:5">
      <c r="A319" s="18"/>
      <c r="B319" s="19"/>
      <c r="D319" s="2"/>
      <c r="E319" s="2"/>
    </row>
    <row r="320" spans="1:5">
      <c r="A320" s="18"/>
      <c r="B320" s="19"/>
      <c r="D320" s="2"/>
      <c r="E320" s="2"/>
    </row>
    <row r="321" spans="1:5">
      <c r="A321" s="18"/>
      <c r="B321" s="19"/>
      <c r="D321" s="2"/>
      <c r="E321" s="2"/>
    </row>
    <row r="322" spans="1:5">
      <c r="A322" s="18"/>
      <c r="B322" s="19"/>
      <c r="D322" s="2"/>
      <c r="E322" s="2"/>
    </row>
    <row r="323" spans="1:5">
      <c r="A323" s="18"/>
      <c r="B323" s="19"/>
      <c r="D323" s="2"/>
      <c r="E323" s="2"/>
    </row>
    <row r="324" spans="1:5">
      <c r="A324" s="18"/>
      <c r="B324" s="19"/>
      <c r="D324" s="2"/>
      <c r="E324" s="2"/>
    </row>
    <row r="325" spans="1:5">
      <c r="A325" s="18"/>
      <c r="B325" s="19"/>
      <c r="D325" s="2"/>
      <c r="E325" s="2"/>
    </row>
    <row r="326" spans="1:5">
      <c r="A326" s="18"/>
      <c r="B326" s="19"/>
      <c r="D326" s="2"/>
      <c r="E326" s="2"/>
    </row>
    <row r="327" spans="1:5">
      <c r="A327" s="18"/>
      <c r="B327" s="19"/>
      <c r="D327" s="2"/>
      <c r="E327" s="2"/>
    </row>
    <row r="328" spans="1:5">
      <c r="A328" s="18"/>
      <c r="B328" s="19"/>
      <c r="D328" s="2"/>
      <c r="E328" s="2"/>
    </row>
    <row r="329" spans="1:5">
      <c r="A329" s="18"/>
      <c r="B329" s="19"/>
      <c r="D329" s="2"/>
      <c r="E329" s="2"/>
    </row>
    <row r="330" spans="1:5">
      <c r="A330" s="18"/>
      <c r="B330" s="19"/>
      <c r="D330" s="2"/>
      <c r="E330" s="2"/>
    </row>
    <row r="331" spans="1:5">
      <c r="A331" s="18"/>
      <c r="B331" s="19"/>
      <c r="D331" s="2"/>
      <c r="E331" s="2"/>
    </row>
    <row r="332" spans="1:5">
      <c r="A332" s="18"/>
      <c r="B332" s="19"/>
      <c r="D332" s="2"/>
      <c r="E332" s="2"/>
    </row>
    <row r="333" spans="1:5">
      <c r="A333" s="18"/>
      <c r="B333" s="19"/>
      <c r="D333" s="2"/>
      <c r="E333" s="2"/>
    </row>
    <row r="334" spans="1:5">
      <c r="A334" s="18"/>
      <c r="B334" s="19"/>
      <c r="D334" s="2"/>
      <c r="E334" s="2"/>
    </row>
    <row r="335" spans="1:5">
      <c r="A335" s="18"/>
      <c r="B335" s="19"/>
      <c r="D335" s="2"/>
      <c r="E335" s="2"/>
    </row>
    <row r="336" spans="1:5">
      <c r="A336" s="18"/>
      <c r="B336" s="19"/>
      <c r="D336" s="2"/>
      <c r="E336" s="2"/>
    </row>
    <row r="337" spans="1:5">
      <c r="A337" s="18"/>
      <c r="B337" s="19"/>
      <c r="D337" s="2"/>
      <c r="E337" s="2"/>
    </row>
    <row r="338" spans="1:5">
      <c r="A338" s="18"/>
      <c r="B338" s="19"/>
      <c r="D338" s="2"/>
      <c r="E338" s="2"/>
    </row>
    <row r="339" spans="1:5">
      <c r="A339" s="18"/>
      <c r="B339" s="19"/>
      <c r="D339" s="2"/>
      <c r="E339" s="2"/>
    </row>
    <row r="340" spans="1:5">
      <c r="A340" s="18"/>
      <c r="B340" s="19"/>
      <c r="D340" s="2"/>
      <c r="E340" s="2"/>
    </row>
    <row r="341" spans="1:5">
      <c r="A341" s="18"/>
      <c r="B341" s="19"/>
      <c r="D341" s="2"/>
      <c r="E341" s="2"/>
    </row>
    <row r="342" spans="1:5">
      <c r="A342" s="18"/>
      <c r="B342" s="19"/>
      <c r="D342" s="2"/>
      <c r="E342" s="2"/>
    </row>
    <row r="343" spans="1:5">
      <c r="A343" s="18"/>
      <c r="B343" s="19"/>
      <c r="D343" s="2"/>
      <c r="E343" s="2"/>
    </row>
    <row r="344" spans="1:5">
      <c r="A344" s="18"/>
      <c r="B344" s="19"/>
      <c r="D344" s="2"/>
      <c r="E344" s="2"/>
    </row>
    <row r="345" spans="1:5">
      <c r="A345" s="18"/>
      <c r="B345" s="19"/>
      <c r="D345" s="2"/>
      <c r="E345" s="2"/>
    </row>
    <row r="346" spans="1:5">
      <c r="A346" s="18"/>
      <c r="B346" s="19"/>
      <c r="D346" s="2"/>
      <c r="E346" s="2"/>
    </row>
    <row r="347" spans="1:5">
      <c r="A347" s="18"/>
      <c r="B347" s="19"/>
      <c r="D347" s="2"/>
      <c r="E347" s="2"/>
    </row>
    <row r="348" spans="1:5">
      <c r="A348" s="18"/>
      <c r="B348" s="19"/>
      <c r="D348" s="2"/>
      <c r="E348" s="2"/>
    </row>
    <row r="349" spans="1:5">
      <c r="A349" s="18"/>
      <c r="B349" s="19"/>
      <c r="D349" s="2"/>
      <c r="E349" s="2"/>
    </row>
    <row r="350" spans="1:5">
      <c r="A350" s="18"/>
      <c r="B350" s="19"/>
      <c r="D350" s="2"/>
      <c r="E350" s="2"/>
    </row>
    <row r="351" spans="1:5">
      <c r="A351" s="18"/>
      <c r="B351" s="19"/>
      <c r="D351" s="2"/>
      <c r="E351" s="2"/>
    </row>
    <row r="352" spans="1:5">
      <c r="A352" s="18"/>
      <c r="B352" s="19"/>
      <c r="D352" s="2"/>
      <c r="E352" s="2"/>
    </row>
    <row r="353" spans="1:5">
      <c r="A353" s="18"/>
      <c r="B353" s="19"/>
      <c r="D353" s="2"/>
      <c r="E353" s="2"/>
    </row>
    <row r="354" spans="1:5">
      <c r="A354" s="18"/>
      <c r="B354" s="19"/>
      <c r="D354" s="2"/>
      <c r="E354" s="2"/>
    </row>
    <row r="355" spans="1:5">
      <c r="A355" s="18"/>
      <c r="B355" s="19"/>
      <c r="D355" s="2"/>
      <c r="E355" s="2"/>
    </row>
    <row r="356" spans="1:5">
      <c r="A356" s="18"/>
      <c r="B356" s="19"/>
      <c r="D356" s="2"/>
      <c r="E356" s="2"/>
    </row>
    <row r="357" spans="1:5">
      <c r="A357" s="18"/>
      <c r="B357" s="19"/>
      <c r="D357" s="2"/>
      <c r="E357" s="2"/>
    </row>
    <row r="358" spans="1:5">
      <c r="A358" s="18"/>
      <c r="B358" s="19"/>
      <c r="D358" s="2"/>
      <c r="E358" s="2"/>
    </row>
    <row r="359" spans="1:5">
      <c r="A359" s="18"/>
      <c r="B359" s="19"/>
      <c r="D359" s="2"/>
      <c r="E359" s="2"/>
    </row>
    <row r="360" spans="1:5">
      <c r="A360" s="18"/>
      <c r="B360" s="19"/>
      <c r="D360" s="2"/>
      <c r="E360" s="2"/>
    </row>
    <row r="361" spans="1:5">
      <c r="A361" s="18"/>
      <c r="B361" s="19"/>
      <c r="D361" s="2"/>
      <c r="E361" s="2"/>
    </row>
    <row r="362" spans="1:5">
      <c r="A362" s="18"/>
      <c r="B362" s="19"/>
      <c r="D362" s="2"/>
      <c r="E362" s="2"/>
    </row>
    <row r="363" spans="1:5">
      <c r="A363" s="18"/>
      <c r="B363" s="19"/>
      <c r="D363" s="2"/>
      <c r="E363" s="2"/>
    </row>
    <row r="364" spans="1:5">
      <c r="A364" s="18"/>
      <c r="B364" s="19"/>
      <c r="D364" s="2"/>
      <c r="E364" s="2"/>
    </row>
    <row r="365" spans="1:5">
      <c r="A365" s="18"/>
      <c r="B365" s="19"/>
      <c r="D365" s="2"/>
      <c r="E365" s="2"/>
    </row>
    <row r="366" spans="1:5">
      <c r="A366" s="18"/>
      <c r="B366" s="19"/>
      <c r="D366" s="2"/>
      <c r="E366" s="2"/>
    </row>
    <row r="367" spans="1:5">
      <c r="A367" s="18"/>
      <c r="B367" s="19"/>
      <c r="D367" s="2"/>
      <c r="E367" s="2"/>
    </row>
    <row r="368" spans="1:5">
      <c r="A368" s="18"/>
      <c r="B368" s="19"/>
      <c r="D368" s="2"/>
      <c r="E368" s="2"/>
    </row>
    <row r="369" spans="1:5">
      <c r="A369" s="18"/>
      <c r="B369" s="19"/>
      <c r="D369" s="2"/>
      <c r="E369" s="2"/>
    </row>
    <row r="370" spans="1:5">
      <c r="A370" s="18"/>
      <c r="B370" s="19"/>
      <c r="D370" s="2"/>
      <c r="E370" s="2"/>
    </row>
    <row r="371" spans="1:5">
      <c r="A371" s="18"/>
      <c r="B371" s="19"/>
      <c r="D371" s="2"/>
      <c r="E371" s="2"/>
    </row>
    <row r="372" spans="1:5">
      <c r="A372" s="18"/>
      <c r="B372" s="19"/>
      <c r="D372" s="2"/>
      <c r="E372" s="2"/>
    </row>
    <row r="373" spans="1:5">
      <c r="A373" s="18"/>
      <c r="B373" s="19"/>
      <c r="D373" s="2"/>
      <c r="E373" s="2"/>
    </row>
    <row r="374" spans="1:5">
      <c r="A374" s="18"/>
      <c r="B374" s="19"/>
      <c r="D374" s="2"/>
      <c r="E374" s="2"/>
    </row>
    <row r="375" spans="1:5">
      <c r="A375" s="18"/>
      <c r="B375" s="19"/>
      <c r="D375" s="2"/>
      <c r="E375" s="2"/>
    </row>
    <row r="376" spans="1:5">
      <c r="A376" s="18"/>
      <c r="B376" s="19"/>
      <c r="D376" s="2"/>
      <c r="E376" s="2"/>
    </row>
    <row r="377" spans="1:5">
      <c r="A377" s="18"/>
      <c r="B377" s="19"/>
      <c r="D377" s="2"/>
      <c r="E377" s="2"/>
    </row>
    <row r="378" spans="1:5">
      <c r="A378" s="18"/>
      <c r="B378" s="19"/>
      <c r="D378" s="2"/>
      <c r="E378" s="2"/>
    </row>
    <row r="379" spans="1:5">
      <c r="A379" s="18"/>
      <c r="B379" s="19"/>
      <c r="D379" s="2"/>
      <c r="E379" s="2"/>
    </row>
    <row r="380" spans="1:5">
      <c r="A380" s="18"/>
      <c r="B380" s="19"/>
      <c r="D380" s="2"/>
      <c r="E380" s="2"/>
    </row>
    <row r="381" spans="1:5">
      <c r="A381" s="18"/>
      <c r="B381" s="19"/>
      <c r="D381" s="2"/>
      <c r="E381" s="2"/>
    </row>
    <row r="382" spans="1:5">
      <c r="A382" s="18"/>
      <c r="B382" s="19"/>
      <c r="D382" s="2"/>
      <c r="E382" s="2"/>
    </row>
    <row r="383" spans="1:5">
      <c r="A383" s="18"/>
      <c r="B383" s="19"/>
      <c r="D383" s="2"/>
      <c r="E383" s="2"/>
    </row>
    <row r="384" spans="1:5">
      <c r="A384" s="18"/>
      <c r="B384" s="19"/>
      <c r="D384" s="2"/>
      <c r="E384" s="2"/>
    </row>
    <row r="385" spans="1:5">
      <c r="A385" s="18"/>
      <c r="B385" s="19"/>
      <c r="D385" s="2"/>
      <c r="E385" s="2"/>
    </row>
    <row r="386" spans="1:5">
      <c r="A386" s="18"/>
      <c r="B386" s="19"/>
      <c r="D386" s="2"/>
      <c r="E386" s="2"/>
    </row>
    <row r="387" spans="1:5">
      <c r="A387" s="18"/>
      <c r="B387" s="19"/>
      <c r="D387" s="2"/>
      <c r="E387" s="2"/>
    </row>
    <row r="388" spans="1:5">
      <c r="A388" s="18"/>
      <c r="B388" s="19"/>
      <c r="D388" s="2"/>
      <c r="E388" s="2"/>
    </row>
    <row r="389" spans="1:5">
      <c r="A389" s="18"/>
      <c r="B389" s="19"/>
      <c r="D389" s="2"/>
      <c r="E389" s="2"/>
    </row>
    <row r="390" spans="1:5">
      <c r="A390" s="18"/>
      <c r="B390" s="19"/>
      <c r="D390" s="2"/>
      <c r="E390" s="2"/>
    </row>
    <row r="391" spans="1:5">
      <c r="A391" s="18"/>
      <c r="B391" s="19"/>
      <c r="D391" s="2"/>
      <c r="E391" s="2"/>
    </row>
    <row r="392" spans="1:5">
      <c r="A392" s="18"/>
      <c r="B392" s="19"/>
      <c r="D392" s="2"/>
      <c r="E392" s="2"/>
    </row>
    <row r="393" spans="1:5">
      <c r="A393" s="18"/>
      <c r="B393" s="19"/>
      <c r="D393" s="2"/>
      <c r="E393" s="2"/>
    </row>
    <row r="394" spans="1:5">
      <c r="A394" s="18"/>
      <c r="B394" s="19"/>
      <c r="D394" s="2"/>
      <c r="E394" s="2"/>
    </row>
    <row r="395" spans="1:5">
      <c r="A395" s="18"/>
      <c r="B395" s="19"/>
      <c r="D395" s="2"/>
      <c r="E395" s="2"/>
    </row>
    <row r="396" spans="1:5">
      <c r="A396" s="18"/>
      <c r="B396" s="19"/>
      <c r="D396" s="2"/>
      <c r="E396" s="2"/>
    </row>
    <row r="397" spans="1:5">
      <c r="A397" s="18"/>
      <c r="B397" s="19"/>
      <c r="D397" s="2"/>
      <c r="E397" s="2"/>
    </row>
    <row r="398" spans="1:5">
      <c r="A398" s="18"/>
      <c r="B398" s="19"/>
      <c r="D398" s="2"/>
      <c r="E398" s="2"/>
    </row>
    <row r="399" spans="1:5">
      <c r="A399" s="18"/>
      <c r="B399" s="19"/>
      <c r="D399" s="2"/>
      <c r="E399" s="2"/>
    </row>
    <row r="400" spans="1:5">
      <c r="A400" s="18"/>
      <c r="B400" s="19"/>
      <c r="D400" s="2"/>
      <c r="E400" s="2"/>
    </row>
    <row r="401" spans="1:5">
      <c r="A401" s="18"/>
      <c r="B401" s="19"/>
      <c r="D401" s="2"/>
      <c r="E401" s="2"/>
    </row>
    <row r="402" spans="1:5">
      <c r="A402" s="18"/>
      <c r="B402" s="19"/>
      <c r="D402" s="2"/>
      <c r="E402" s="2"/>
    </row>
    <row r="403" spans="1:5">
      <c r="A403" s="18"/>
      <c r="B403" s="19"/>
      <c r="D403" s="2"/>
      <c r="E403" s="2"/>
    </row>
    <row r="404" spans="1:5">
      <c r="A404" s="18"/>
      <c r="B404" s="19"/>
      <c r="D404" s="2"/>
      <c r="E404" s="2"/>
    </row>
    <row r="405" spans="1:5">
      <c r="A405" s="18"/>
      <c r="B405" s="19"/>
      <c r="D405" s="2"/>
      <c r="E405" s="2"/>
    </row>
    <row r="406" spans="1:5">
      <c r="A406" s="18"/>
      <c r="B406" s="19"/>
      <c r="D406" s="2"/>
      <c r="E406" s="2"/>
    </row>
    <row r="407" spans="1:5">
      <c r="A407" s="18"/>
      <c r="B407" s="19"/>
      <c r="D407" s="2"/>
      <c r="E407" s="2"/>
    </row>
    <row r="408" spans="1:5">
      <c r="A408" s="18"/>
      <c r="B408" s="19"/>
      <c r="D408" s="2"/>
      <c r="E408" s="2"/>
    </row>
    <row r="409" spans="1:5">
      <c r="A409" s="18"/>
      <c r="B409" s="19"/>
      <c r="D409" s="2"/>
      <c r="E409" s="2"/>
    </row>
    <row r="410" spans="1:5">
      <c r="A410" s="18"/>
      <c r="B410" s="19"/>
      <c r="D410" s="2"/>
      <c r="E410" s="2"/>
    </row>
    <row r="411" spans="1:5">
      <c r="A411" s="18"/>
      <c r="B411" s="19"/>
      <c r="D411" s="2"/>
      <c r="E411" s="2"/>
    </row>
    <row r="412" spans="1:5">
      <c r="A412" s="18"/>
      <c r="B412" s="19"/>
      <c r="D412" s="2"/>
      <c r="E412" s="2"/>
    </row>
    <row r="413" spans="1:5">
      <c r="A413" s="18"/>
      <c r="B413" s="19"/>
      <c r="D413" s="2"/>
      <c r="E413" s="2"/>
    </row>
    <row r="414" spans="1:5">
      <c r="A414" s="18"/>
      <c r="B414" s="19"/>
      <c r="D414" s="2"/>
      <c r="E414" s="2"/>
    </row>
    <row r="415" spans="1:5">
      <c r="A415" s="18"/>
      <c r="B415" s="19"/>
      <c r="D415" s="2"/>
      <c r="E415" s="2"/>
    </row>
    <row r="416" spans="1:5">
      <c r="A416" s="18"/>
      <c r="B416" s="19"/>
      <c r="D416" s="2"/>
      <c r="E416" s="2"/>
    </row>
    <row r="417" spans="1:5">
      <c r="A417" s="18"/>
      <c r="B417" s="19"/>
      <c r="D417" s="2"/>
      <c r="E417" s="2"/>
    </row>
    <row r="418" spans="1:5">
      <c r="A418" s="18"/>
      <c r="B418" s="19"/>
      <c r="D418" s="2"/>
      <c r="E418" s="2"/>
    </row>
    <row r="419" spans="1:5">
      <c r="A419" s="18"/>
      <c r="B419" s="19"/>
      <c r="D419" s="2"/>
      <c r="E419" s="2"/>
    </row>
    <row r="420" spans="1:5">
      <c r="A420" s="18"/>
      <c r="B420" s="19"/>
      <c r="D420" s="2"/>
      <c r="E420" s="2"/>
    </row>
    <row r="421" spans="1:5">
      <c r="A421" s="18"/>
      <c r="B421" s="19"/>
      <c r="D421" s="2"/>
      <c r="E421" s="2"/>
    </row>
    <row r="422" spans="1:5">
      <c r="A422" s="18"/>
      <c r="B422" s="19"/>
      <c r="D422" s="2"/>
      <c r="E422" s="2"/>
    </row>
    <row r="423" spans="1:5">
      <c r="A423" s="18"/>
      <c r="B423" s="19"/>
      <c r="D423" s="2"/>
      <c r="E423" s="2"/>
    </row>
    <row r="424" spans="1:5">
      <c r="A424" s="18"/>
      <c r="B424" s="19"/>
      <c r="D424" s="2"/>
      <c r="E424" s="2"/>
    </row>
    <row r="425" spans="1:5">
      <c r="A425" s="18"/>
      <c r="B425" s="19"/>
      <c r="D425" s="2"/>
      <c r="E425" s="2"/>
    </row>
    <row r="426" spans="1:5">
      <c r="A426" s="18"/>
      <c r="B426" s="19"/>
      <c r="D426" s="2"/>
      <c r="E426" s="2"/>
    </row>
    <row r="427" spans="1:5">
      <c r="A427" s="18"/>
      <c r="B427" s="19"/>
      <c r="D427" s="2"/>
      <c r="E427" s="2"/>
    </row>
    <row r="428" spans="1:5">
      <c r="A428" s="18"/>
      <c r="B428" s="19"/>
      <c r="D428" s="2"/>
      <c r="E428" s="2"/>
    </row>
    <row r="429" spans="1:5">
      <c r="A429" s="18"/>
      <c r="B429" s="19"/>
      <c r="D429" s="2"/>
      <c r="E429" s="2"/>
    </row>
    <row r="430" spans="1:5">
      <c r="A430" s="18"/>
      <c r="B430" s="19"/>
      <c r="D430" s="2"/>
      <c r="E430" s="2"/>
    </row>
    <row r="431" spans="1:5">
      <c r="A431" s="18"/>
      <c r="B431" s="19"/>
      <c r="D431" s="2"/>
      <c r="E431" s="2"/>
    </row>
    <row r="432" spans="1:5">
      <c r="A432" s="18"/>
      <c r="B432" s="19"/>
      <c r="D432" s="2"/>
      <c r="E432" s="2"/>
    </row>
    <row r="433" spans="1:5">
      <c r="A433" s="18"/>
      <c r="B433" s="19"/>
      <c r="D433" s="2"/>
      <c r="E433" s="2"/>
    </row>
    <row r="434" spans="1:5">
      <c r="A434" s="18"/>
      <c r="B434" s="19"/>
      <c r="D434" s="2"/>
      <c r="E434" s="2"/>
    </row>
    <row r="435" spans="1:5">
      <c r="A435" s="18"/>
      <c r="B435" s="19"/>
      <c r="D435" s="2"/>
      <c r="E435" s="2"/>
    </row>
    <row r="436" spans="1:5">
      <c r="A436" s="18"/>
      <c r="B436" s="19"/>
      <c r="D436" s="2"/>
      <c r="E436" s="2"/>
    </row>
    <row r="437" spans="1:5">
      <c r="A437" s="18"/>
      <c r="B437" s="19"/>
      <c r="D437" s="2"/>
      <c r="E437" s="2"/>
    </row>
    <row r="438" spans="1:5">
      <c r="A438" s="18"/>
      <c r="B438" s="19"/>
      <c r="D438" s="2"/>
      <c r="E438" s="2"/>
    </row>
    <row r="439" spans="1:5">
      <c r="A439" s="18"/>
      <c r="B439" s="19"/>
      <c r="D439" s="2"/>
      <c r="E439" s="2"/>
    </row>
    <row r="440" spans="1:5">
      <c r="A440" s="18"/>
      <c r="B440" s="19"/>
      <c r="D440" s="2"/>
      <c r="E440" s="2"/>
    </row>
    <row r="441" spans="1:5">
      <c r="A441" s="18"/>
      <c r="B441" s="19"/>
      <c r="D441" s="2"/>
      <c r="E441" s="2"/>
    </row>
    <row r="442" spans="1:5">
      <c r="A442" s="18"/>
      <c r="B442" s="19"/>
      <c r="D442" s="2"/>
      <c r="E442" s="2"/>
    </row>
    <row r="443" spans="1:5">
      <c r="A443" s="18"/>
      <c r="B443" s="19"/>
      <c r="D443" s="2"/>
      <c r="E443" s="2"/>
    </row>
    <row r="444" spans="1:5">
      <c r="A444" s="18"/>
      <c r="B444" s="19"/>
      <c r="D444" s="2"/>
      <c r="E444" s="2"/>
    </row>
    <row r="445" spans="1:5">
      <c r="A445" s="18"/>
      <c r="B445" s="19"/>
      <c r="D445" s="2"/>
      <c r="E445" s="2"/>
    </row>
    <row r="446" spans="1:5">
      <c r="A446" s="18"/>
      <c r="B446" s="19"/>
      <c r="D446" s="2"/>
      <c r="E446" s="2"/>
    </row>
    <row r="447" spans="1:5">
      <c r="A447" s="18"/>
      <c r="B447" s="19"/>
      <c r="D447" s="2"/>
      <c r="E447" s="2"/>
    </row>
    <row r="448" spans="1:5">
      <c r="A448" s="18"/>
      <c r="B448" s="19"/>
      <c r="D448" s="2"/>
      <c r="E448" s="2"/>
    </row>
    <row r="449" spans="1:5">
      <c r="A449" s="18"/>
      <c r="B449" s="19"/>
      <c r="D449" s="2"/>
      <c r="E449" s="2"/>
    </row>
    <row r="450" spans="1:5">
      <c r="A450" s="18"/>
      <c r="B450" s="19"/>
      <c r="D450" s="2"/>
      <c r="E450" s="2"/>
    </row>
    <row r="451" spans="1:5">
      <c r="A451" s="18"/>
      <c r="B451" s="19"/>
      <c r="D451" s="2"/>
      <c r="E451" s="2"/>
    </row>
    <row r="452" spans="1:5">
      <c r="A452" s="18"/>
      <c r="B452" s="19"/>
      <c r="D452" s="2"/>
      <c r="E452" s="2"/>
    </row>
    <row r="453" spans="1:5">
      <c r="A453" s="18"/>
      <c r="B453" s="19"/>
      <c r="D453" s="2"/>
      <c r="E453" s="2"/>
    </row>
    <row r="454" spans="1:5">
      <c r="A454" s="18"/>
      <c r="B454" s="19"/>
      <c r="D454" s="2"/>
      <c r="E454" s="2"/>
    </row>
    <row r="455" spans="1:5">
      <c r="A455" s="18"/>
      <c r="B455" s="19"/>
      <c r="D455" s="2"/>
      <c r="E455" s="2"/>
    </row>
    <row r="456" spans="1:5">
      <c r="A456" s="18"/>
      <c r="B456" s="19"/>
      <c r="D456" s="2"/>
      <c r="E456" s="2"/>
    </row>
    <row r="457" spans="1:5">
      <c r="A457" s="18"/>
      <c r="B457" s="19"/>
      <c r="D457" s="2"/>
      <c r="E457" s="2"/>
    </row>
    <row r="458" spans="1:5">
      <c r="A458" s="18"/>
      <c r="B458" s="19"/>
      <c r="D458" s="2"/>
      <c r="E458" s="2"/>
    </row>
    <row r="459" spans="1:5">
      <c r="A459" s="18"/>
      <c r="B459" s="19"/>
      <c r="D459" s="2"/>
      <c r="E459" s="2"/>
    </row>
    <row r="460" spans="1:5">
      <c r="A460" s="18"/>
      <c r="B460" s="19"/>
      <c r="D460" s="2"/>
      <c r="E460" s="2"/>
    </row>
    <row r="461" spans="1:5">
      <c r="A461" s="18"/>
      <c r="B461" s="19"/>
      <c r="D461" s="2"/>
      <c r="E461" s="2"/>
    </row>
    <row r="462" spans="1:5">
      <c r="A462" s="18"/>
      <c r="B462" s="19"/>
      <c r="D462" s="2"/>
      <c r="E462" s="2"/>
    </row>
    <row r="463" spans="1:5">
      <c r="A463" s="18"/>
      <c r="B463" s="19"/>
      <c r="D463" s="2"/>
      <c r="E463" s="2"/>
    </row>
    <row r="464" spans="1:5">
      <c r="A464" s="18"/>
      <c r="B464" s="19"/>
      <c r="D464" s="2"/>
      <c r="E464" s="2"/>
    </row>
    <row r="465" spans="1:5">
      <c r="A465" s="18"/>
      <c r="B465" s="19"/>
      <c r="D465" s="2"/>
      <c r="E465" s="2"/>
    </row>
    <row r="466" spans="1:5">
      <c r="A466" s="18"/>
      <c r="B466" s="19"/>
      <c r="D466" s="2"/>
      <c r="E466" s="2"/>
    </row>
    <row r="467" spans="1:5">
      <c r="A467" s="18"/>
      <c r="B467" s="19"/>
      <c r="D467" s="2"/>
      <c r="E467" s="2"/>
    </row>
    <row r="468" spans="1:5">
      <c r="A468" s="18"/>
      <c r="B468" s="19"/>
      <c r="D468" s="2"/>
      <c r="E468" s="2"/>
    </row>
    <row r="469" spans="1:5">
      <c r="A469" s="18"/>
      <c r="B469" s="19"/>
      <c r="D469" s="2"/>
      <c r="E469" s="2"/>
    </row>
    <row r="470" spans="1:5">
      <c r="A470" s="18"/>
      <c r="B470" s="19"/>
      <c r="D470" s="2"/>
      <c r="E470" s="2"/>
    </row>
    <row r="471" spans="1:5">
      <c r="A471" s="18"/>
      <c r="B471" s="19"/>
      <c r="D471" s="2"/>
      <c r="E471" s="2"/>
    </row>
    <row r="472" spans="1:5">
      <c r="A472" s="18"/>
      <c r="B472" s="19"/>
      <c r="D472" s="2"/>
      <c r="E472" s="2"/>
    </row>
    <row r="473" spans="1:5">
      <c r="A473" s="18"/>
      <c r="B473" s="19"/>
      <c r="D473" s="2"/>
      <c r="E473" s="2"/>
    </row>
    <row r="474" spans="1:5">
      <c r="A474" s="18"/>
      <c r="B474" s="19"/>
      <c r="D474" s="2"/>
      <c r="E474" s="2"/>
    </row>
    <row r="475" spans="1:5">
      <c r="A475" s="18"/>
      <c r="B475" s="19"/>
      <c r="D475" s="2"/>
      <c r="E475" s="2"/>
    </row>
    <row r="476" spans="1:5">
      <c r="A476" s="18"/>
      <c r="B476" s="19"/>
      <c r="D476" s="2"/>
      <c r="E476" s="2"/>
    </row>
    <row r="477" spans="1:5">
      <c r="A477" s="18"/>
      <c r="B477" s="19"/>
      <c r="D477" s="2"/>
      <c r="E477" s="2"/>
    </row>
    <row r="478" spans="1:5">
      <c r="A478" s="18"/>
      <c r="B478" s="19"/>
      <c r="D478" s="2"/>
      <c r="E478" s="2"/>
    </row>
    <row r="479" spans="1:5">
      <c r="A479" s="18"/>
      <c r="B479" s="19"/>
      <c r="D479" s="2"/>
      <c r="E479" s="2"/>
    </row>
    <row r="480" spans="1:5">
      <c r="A480" s="18"/>
      <c r="B480" s="19"/>
      <c r="D480" s="2"/>
      <c r="E480" s="2"/>
    </row>
    <row r="481" spans="1:5">
      <c r="A481" s="18"/>
      <c r="B481" s="19"/>
      <c r="D481" s="2"/>
      <c r="E481" s="2"/>
    </row>
    <row r="482" spans="1:5">
      <c r="A482" s="18"/>
      <c r="B482" s="19"/>
      <c r="D482" s="2"/>
      <c r="E482" s="2"/>
    </row>
    <row r="483" spans="1:5">
      <c r="A483" s="18"/>
      <c r="B483" s="19"/>
      <c r="D483" s="2"/>
      <c r="E483" s="2"/>
    </row>
    <row r="484" spans="1:5">
      <c r="A484" s="18"/>
      <c r="B484" s="19"/>
      <c r="D484" s="2"/>
      <c r="E484" s="2"/>
    </row>
    <row r="485" spans="1:5">
      <c r="A485" s="18"/>
      <c r="B485" s="19"/>
      <c r="D485" s="2"/>
      <c r="E485" s="2"/>
    </row>
    <row r="486" spans="1:5">
      <c r="A486" s="18"/>
      <c r="B486" s="19"/>
      <c r="D486" s="2"/>
      <c r="E486" s="2"/>
    </row>
    <row r="487" spans="1:5">
      <c r="A487" s="18"/>
      <c r="B487" s="19"/>
      <c r="D487" s="2"/>
      <c r="E487" s="2"/>
    </row>
    <row r="488" spans="1:5">
      <c r="A488" s="18"/>
      <c r="B488" s="19"/>
      <c r="D488" s="2"/>
      <c r="E488" s="2"/>
    </row>
    <row r="489" spans="1:5">
      <c r="A489" s="18"/>
      <c r="B489" s="19"/>
      <c r="D489" s="2"/>
      <c r="E489" s="2"/>
    </row>
    <row r="490" spans="1:5">
      <c r="A490" s="18"/>
      <c r="B490" s="19"/>
      <c r="D490" s="2"/>
      <c r="E490" s="2"/>
    </row>
    <row r="491" spans="1:5">
      <c r="A491" s="18"/>
      <c r="B491" s="19"/>
      <c r="D491" s="2"/>
      <c r="E491" s="2"/>
    </row>
    <row r="492" spans="1:5">
      <c r="A492" s="18"/>
      <c r="B492" s="19"/>
      <c r="D492" s="2"/>
      <c r="E492" s="2"/>
    </row>
    <row r="493" spans="1:5">
      <c r="A493" s="18"/>
      <c r="B493" s="19"/>
      <c r="D493" s="2"/>
      <c r="E493" s="2"/>
    </row>
    <row r="494" spans="1:5">
      <c r="A494" s="18"/>
      <c r="B494" s="19"/>
      <c r="D494" s="2"/>
      <c r="E494" s="2"/>
    </row>
    <row r="495" spans="1:5">
      <c r="A495" s="18"/>
      <c r="B495" s="19"/>
      <c r="D495" s="2"/>
      <c r="E495" s="2"/>
    </row>
    <row r="496" spans="1:5">
      <c r="A496" s="18"/>
      <c r="B496" s="19"/>
      <c r="D496" s="2"/>
      <c r="E496" s="2"/>
    </row>
    <row r="497" spans="1:5">
      <c r="A497" s="18"/>
      <c r="B497" s="19"/>
      <c r="D497" s="2"/>
      <c r="E497" s="2"/>
    </row>
    <row r="498" spans="1:5">
      <c r="A498" s="18"/>
      <c r="B498" s="19"/>
      <c r="D498" s="2"/>
      <c r="E498" s="2"/>
    </row>
    <row r="499" spans="1:5">
      <c r="A499" s="18"/>
      <c r="B499" s="19"/>
      <c r="D499" s="2"/>
      <c r="E499" s="2"/>
    </row>
    <row r="500" spans="1:5">
      <c r="A500" s="18"/>
      <c r="B500" s="19"/>
      <c r="D500" s="2"/>
      <c r="E500" s="2"/>
    </row>
    <row r="501" spans="1:5">
      <c r="A501" s="18"/>
      <c r="B501" s="19"/>
      <c r="D501" s="2"/>
      <c r="E501" s="2"/>
    </row>
    <row r="502" spans="1:5">
      <c r="A502" s="18"/>
      <c r="B502" s="19"/>
      <c r="D502" s="2"/>
      <c r="E502" s="2"/>
    </row>
    <row r="503" spans="1:5">
      <c r="A503" s="18"/>
      <c r="B503" s="19"/>
      <c r="D503" s="2"/>
      <c r="E503" s="2"/>
    </row>
    <row r="504" spans="1:5">
      <c r="A504" s="18"/>
      <c r="B504" s="19"/>
      <c r="D504" s="2"/>
      <c r="E504" s="2"/>
    </row>
    <row r="505" spans="1:5">
      <c r="A505" s="18"/>
      <c r="B505" s="19"/>
      <c r="D505" s="2"/>
      <c r="E505" s="2"/>
    </row>
    <row r="506" spans="1:5">
      <c r="A506" s="18"/>
      <c r="B506" s="19"/>
      <c r="D506" s="2"/>
      <c r="E506" s="2"/>
    </row>
    <row r="507" spans="1:5">
      <c r="A507" s="18"/>
      <c r="B507" s="19"/>
      <c r="D507" s="2"/>
      <c r="E507" s="2"/>
    </row>
    <row r="508" spans="1:5">
      <c r="A508" s="18"/>
      <c r="B508" s="19"/>
      <c r="D508" s="2"/>
      <c r="E508" s="2"/>
    </row>
    <row r="509" spans="1:5">
      <c r="A509" s="18"/>
      <c r="B509" s="19"/>
      <c r="D509" s="2"/>
      <c r="E509" s="2"/>
    </row>
    <row r="510" spans="1:5">
      <c r="A510" s="18"/>
      <c r="B510" s="19"/>
      <c r="D510" s="2"/>
      <c r="E510" s="2"/>
    </row>
    <row r="511" spans="1:5">
      <c r="A511" s="18"/>
      <c r="B511" s="19"/>
      <c r="D511" s="2"/>
      <c r="E511" s="2"/>
    </row>
    <row r="512" spans="1:5">
      <c r="A512" s="18"/>
      <c r="B512" s="19"/>
      <c r="D512" s="2"/>
      <c r="E512" s="2"/>
    </row>
    <row r="513" spans="1:5">
      <c r="A513" s="18"/>
      <c r="B513" s="19"/>
      <c r="D513" s="2"/>
      <c r="E513" s="2"/>
    </row>
    <row r="514" spans="1:5">
      <c r="A514" s="18"/>
      <c r="B514" s="19"/>
      <c r="D514" s="2"/>
      <c r="E514" s="2"/>
    </row>
    <row r="515" spans="1:5">
      <c r="A515" s="18"/>
      <c r="B515" s="19"/>
      <c r="D515" s="2"/>
      <c r="E515" s="2"/>
    </row>
    <row r="516" spans="1:5">
      <c r="A516" s="18"/>
      <c r="B516" s="19"/>
      <c r="D516" s="2"/>
      <c r="E516" s="2"/>
    </row>
    <row r="517" spans="1:5">
      <c r="A517" s="18"/>
      <c r="B517" s="19"/>
      <c r="D517" s="2"/>
      <c r="E517" s="2"/>
    </row>
    <row r="518" spans="1:5">
      <c r="A518" s="18"/>
      <c r="B518" s="19"/>
      <c r="D518" s="2"/>
      <c r="E518" s="2"/>
    </row>
    <row r="519" spans="1:5">
      <c r="A519" s="18"/>
      <c r="B519" s="19"/>
      <c r="D519" s="2"/>
      <c r="E519" s="2"/>
    </row>
    <row r="520" spans="1:5">
      <c r="A520" s="18"/>
      <c r="B520" s="19"/>
      <c r="D520" s="2"/>
      <c r="E520" s="2"/>
    </row>
    <row r="521" spans="1:5">
      <c r="A521" s="18"/>
      <c r="B521" s="19"/>
      <c r="D521" s="2"/>
      <c r="E521" s="2"/>
    </row>
    <row r="522" spans="1:5">
      <c r="A522" s="18"/>
      <c r="B522" s="19"/>
      <c r="D522" s="2"/>
      <c r="E522" s="2"/>
    </row>
    <row r="523" spans="1:5">
      <c r="A523" s="18"/>
      <c r="B523" s="19"/>
      <c r="D523" s="2"/>
      <c r="E523" s="2"/>
    </row>
    <row r="524" spans="1:5">
      <c r="A524" s="18"/>
      <c r="B524" s="19"/>
      <c r="D524" s="2"/>
      <c r="E524" s="2"/>
    </row>
    <row r="525" spans="1:5">
      <c r="A525" s="18"/>
      <c r="B525" s="19"/>
      <c r="D525" s="2"/>
      <c r="E525" s="2"/>
    </row>
    <row r="526" spans="1:5">
      <c r="A526" s="18"/>
      <c r="B526" s="19"/>
      <c r="D526" s="2"/>
      <c r="E526" s="2"/>
    </row>
    <row r="527" spans="1:5">
      <c r="A527" s="18"/>
      <c r="B527" s="19"/>
      <c r="D527" s="2"/>
      <c r="E527" s="2"/>
    </row>
    <row r="528" spans="1:5">
      <c r="A528" s="18"/>
      <c r="B528" s="19"/>
      <c r="D528" s="2"/>
      <c r="E528" s="2"/>
    </row>
    <row r="529" spans="1:5">
      <c r="A529" s="18"/>
      <c r="B529" s="19"/>
      <c r="D529" s="2"/>
      <c r="E529" s="2"/>
    </row>
    <row r="530" spans="1:5">
      <c r="A530" s="18"/>
      <c r="B530" s="19"/>
      <c r="D530" s="2"/>
      <c r="E530" s="2"/>
    </row>
    <row r="531" spans="1:5">
      <c r="A531" s="18"/>
      <c r="B531" s="19"/>
      <c r="D531" s="2"/>
      <c r="E531" s="2"/>
    </row>
    <row r="532" spans="1:5">
      <c r="A532" s="18"/>
      <c r="B532" s="19"/>
      <c r="D532" s="2"/>
      <c r="E532" s="2"/>
    </row>
    <row r="533" spans="1:5">
      <c r="A533" s="18"/>
      <c r="B533" s="19"/>
      <c r="D533" s="2"/>
      <c r="E533" s="2"/>
    </row>
    <row r="534" spans="1:5">
      <c r="A534" s="18"/>
      <c r="B534" s="19"/>
      <c r="D534" s="2"/>
      <c r="E534" s="2"/>
    </row>
    <row r="535" spans="1:5">
      <c r="A535" s="18"/>
      <c r="B535" s="19"/>
      <c r="D535" s="2"/>
      <c r="E535" s="2"/>
    </row>
    <row r="536" spans="1:5">
      <c r="A536" s="18"/>
      <c r="B536" s="19"/>
      <c r="D536" s="2"/>
      <c r="E536" s="2"/>
    </row>
    <row r="537" spans="1:5">
      <c r="A537" s="18"/>
      <c r="B537" s="19"/>
      <c r="D537" s="2"/>
      <c r="E537" s="2"/>
    </row>
    <row r="538" spans="1:5">
      <c r="A538" s="18"/>
      <c r="B538" s="19"/>
      <c r="D538" s="2"/>
      <c r="E538" s="2"/>
    </row>
    <row r="539" spans="1:5">
      <c r="A539" s="18"/>
      <c r="B539" s="19"/>
      <c r="D539" s="2"/>
      <c r="E539" s="2"/>
    </row>
    <row r="540" spans="1:5">
      <c r="A540" s="18"/>
      <c r="B540" s="19"/>
      <c r="D540" s="2"/>
      <c r="E540" s="2"/>
    </row>
    <row r="541" spans="1:5">
      <c r="A541" s="18"/>
      <c r="B541" s="19"/>
      <c r="D541" s="2"/>
      <c r="E541" s="2"/>
    </row>
    <row r="542" spans="1:5">
      <c r="A542" s="18"/>
      <c r="B542" s="19"/>
      <c r="D542" s="2"/>
      <c r="E542" s="2"/>
    </row>
    <row r="543" spans="1:5">
      <c r="A543" s="18"/>
      <c r="B543" s="19"/>
      <c r="D543" s="2"/>
      <c r="E543" s="2"/>
    </row>
    <row r="544" spans="1:5">
      <c r="A544" s="18"/>
      <c r="B544" s="19"/>
      <c r="D544" s="2"/>
      <c r="E544" s="2"/>
    </row>
    <row r="545" spans="1:5">
      <c r="A545" s="18"/>
      <c r="B545" s="19"/>
      <c r="D545" s="2"/>
      <c r="E545" s="2"/>
    </row>
    <row r="546" spans="1:5">
      <c r="A546" s="18"/>
      <c r="B546" s="19"/>
      <c r="D546" s="2"/>
      <c r="E546" s="2"/>
    </row>
    <row r="547" spans="1:5">
      <c r="A547" s="18"/>
      <c r="B547" s="19"/>
      <c r="D547" s="2"/>
      <c r="E547" s="2"/>
    </row>
    <row r="548" spans="1:5">
      <c r="A548" s="18"/>
      <c r="B548" s="19"/>
      <c r="D548" s="2"/>
      <c r="E548" s="2"/>
    </row>
    <row r="549" spans="1:5">
      <c r="A549" s="18"/>
      <c r="B549" s="19"/>
      <c r="D549" s="2"/>
      <c r="E549" s="2"/>
    </row>
    <row r="550" spans="1:5">
      <c r="A550" s="18"/>
      <c r="B550" s="19"/>
      <c r="D550" s="2"/>
      <c r="E550" s="2"/>
    </row>
    <row r="551" spans="1:5">
      <c r="A551" s="18"/>
      <c r="B551" s="19"/>
      <c r="D551" s="2"/>
      <c r="E551" s="2"/>
    </row>
    <row r="552" spans="1:5">
      <c r="A552" s="18"/>
      <c r="B552" s="19"/>
      <c r="D552" s="2"/>
      <c r="E552" s="2"/>
    </row>
    <row r="553" spans="1:5">
      <c r="A553" s="18"/>
      <c r="B553" s="19"/>
      <c r="D553" s="2"/>
      <c r="E553" s="2"/>
    </row>
    <row r="554" spans="1:5">
      <c r="A554" s="18"/>
      <c r="B554" s="19"/>
      <c r="D554" s="2"/>
      <c r="E554" s="2"/>
    </row>
    <row r="555" spans="1:5">
      <c r="A555" s="18"/>
      <c r="B555" s="19"/>
      <c r="D555" s="2"/>
      <c r="E555" s="2"/>
    </row>
    <row r="556" spans="1:5">
      <c r="A556" s="18"/>
      <c r="B556" s="19"/>
      <c r="D556" s="2"/>
      <c r="E556" s="2"/>
    </row>
    <row r="557" spans="1:5">
      <c r="A557" s="18"/>
      <c r="B557" s="19"/>
      <c r="D557" s="2"/>
      <c r="E557" s="2"/>
    </row>
    <row r="558" spans="1:5">
      <c r="A558" s="18"/>
      <c r="B558" s="19"/>
      <c r="D558" s="2"/>
      <c r="E558" s="2"/>
    </row>
    <row r="559" spans="1:5">
      <c r="A559" s="18"/>
      <c r="B559" s="19"/>
      <c r="D559" s="2"/>
      <c r="E559" s="2"/>
    </row>
    <row r="560" spans="1:5">
      <c r="A560" s="18"/>
      <c r="B560" s="19"/>
      <c r="D560" s="2"/>
      <c r="E560" s="2"/>
    </row>
    <row r="561" spans="1:5">
      <c r="A561" s="18"/>
      <c r="B561" s="19"/>
      <c r="D561" s="2"/>
      <c r="E561" s="2"/>
    </row>
    <row r="562" spans="1:5">
      <c r="A562" s="18"/>
      <c r="B562" s="19"/>
      <c r="D562" s="2"/>
      <c r="E562" s="2"/>
    </row>
    <row r="563" spans="1:5">
      <c r="A563" s="18"/>
      <c r="B563" s="19"/>
      <c r="D563" s="2"/>
      <c r="E563" s="2"/>
    </row>
    <row r="564" spans="1:5">
      <c r="A564" s="18"/>
      <c r="B564" s="19"/>
      <c r="D564" s="2"/>
      <c r="E564" s="2"/>
    </row>
    <row r="565" spans="1:5">
      <c r="A565" s="18"/>
      <c r="B565" s="19"/>
      <c r="D565" s="2"/>
      <c r="E565" s="2"/>
    </row>
    <row r="566" spans="1:5">
      <c r="A566" s="18"/>
      <c r="B566" s="19"/>
      <c r="D566" s="2"/>
      <c r="E566" s="2"/>
    </row>
    <row r="567" spans="1:5">
      <c r="A567" s="18"/>
      <c r="B567" s="19"/>
      <c r="D567" s="2"/>
      <c r="E567" s="2"/>
    </row>
    <row r="568" spans="1:5">
      <c r="A568" s="18"/>
      <c r="B568" s="19"/>
      <c r="D568" s="2"/>
      <c r="E568" s="2"/>
    </row>
    <row r="569" spans="1:5">
      <c r="A569" s="18"/>
      <c r="B569" s="19"/>
      <c r="D569" s="2"/>
      <c r="E569" s="2"/>
    </row>
    <row r="570" spans="1:5">
      <c r="A570" s="18"/>
      <c r="B570" s="19"/>
      <c r="D570" s="2"/>
      <c r="E570" s="2"/>
    </row>
    <row r="571" spans="1:5">
      <c r="A571" s="18"/>
      <c r="B571" s="19"/>
      <c r="D571" s="2"/>
      <c r="E571" s="2"/>
    </row>
    <row r="572" spans="1:5">
      <c r="A572" s="18"/>
      <c r="B572" s="19"/>
      <c r="D572" s="2"/>
      <c r="E572" s="2"/>
    </row>
    <row r="573" spans="1:5">
      <c r="A573" s="18"/>
      <c r="B573" s="19"/>
      <c r="D573" s="2"/>
      <c r="E573" s="2"/>
    </row>
    <row r="574" spans="1:5">
      <c r="A574" s="18"/>
      <c r="B574" s="19"/>
      <c r="D574" s="2"/>
      <c r="E574" s="2"/>
    </row>
    <row r="575" spans="1:5">
      <c r="A575" s="18"/>
      <c r="B575" s="19"/>
      <c r="D575" s="2"/>
      <c r="E575" s="2"/>
    </row>
    <row r="576" spans="1:5">
      <c r="A576" s="18"/>
      <c r="B576" s="19"/>
      <c r="D576" s="2"/>
      <c r="E576" s="2"/>
    </row>
    <row r="577" spans="1:5">
      <c r="A577" s="18"/>
      <c r="B577" s="19"/>
      <c r="D577" s="2"/>
      <c r="E577" s="2"/>
    </row>
    <row r="578" spans="1:5">
      <c r="A578" s="18"/>
      <c r="B578" s="19"/>
      <c r="D578" s="2"/>
      <c r="E578" s="2"/>
    </row>
    <row r="579" spans="1:5">
      <c r="A579" s="18"/>
      <c r="B579" s="19"/>
      <c r="D579" s="2"/>
      <c r="E579" s="2"/>
    </row>
    <row r="580" spans="1:5">
      <c r="A580" s="18"/>
      <c r="B580" s="19"/>
      <c r="D580" s="2"/>
      <c r="E580" s="2"/>
    </row>
    <row r="581" spans="1:5">
      <c r="A581" s="18"/>
      <c r="B581" s="19"/>
      <c r="D581" s="2"/>
      <c r="E581" s="2"/>
    </row>
    <row r="582" spans="1:5">
      <c r="A582" s="18"/>
      <c r="B582" s="19"/>
      <c r="D582" s="2"/>
      <c r="E582" s="2"/>
    </row>
    <row r="583" spans="1:5">
      <c r="A583" s="18"/>
      <c r="B583" s="19"/>
      <c r="D583" s="2"/>
      <c r="E583" s="2"/>
    </row>
    <row r="584" spans="1:5">
      <c r="A584" s="18"/>
      <c r="B584" s="19"/>
      <c r="D584" s="2"/>
      <c r="E584" s="2"/>
    </row>
    <row r="585" spans="1:5">
      <c r="A585" s="18"/>
      <c r="B585" s="19"/>
      <c r="D585" s="2"/>
      <c r="E585" s="2"/>
    </row>
    <row r="586" spans="1:5">
      <c r="A586" s="18"/>
      <c r="B586" s="19"/>
      <c r="D586" s="2"/>
      <c r="E586" s="2"/>
    </row>
    <row r="587" spans="1:5">
      <c r="A587" s="18"/>
      <c r="B587" s="19"/>
      <c r="D587" s="2"/>
      <c r="E587" s="2"/>
    </row>
    <row r="588" spans="1:5">
      <c r="A588" s="18"/>
      <c r="B588" s="19"/>
      <c r="D588" s="2"/>
      <c r="E588" s="2"/>
    </row>
    <row r="589" spans="1:5">
      <c r="A589" s="18"/>
      <c r="B589" s="19"/>
      <c r="D589" s="2"/>
      <c r="E589" s="2"/>
    </row>
    <row r="590" spans="1:5">
      <c r="A590" s="18"/>
      <c r="B590" s="19"/>
      <c r="D590" s="2"/>
      <c r="E590" s="2"/>
    </row>
    <row r="591" spans="1:5">
      <c r="A591" s="18"/>
      <c r="B591" s="19"/>
      <c r="D591" s="2"/>
      <c r="E591" s="2"/>
    </row>
    <row r="592" spans="1:5">
      <c r="A592" s="18"/>
      <c r="B592" s="19"/>
      <c r="D592" s="2"/>
      <c r="E592" s="2"/>
    </row>
    <row r="593" spans="1:5">
      <c r="A593" s="18"/>
      <c r="B593" s="19"/>
      <c r="D593" s="2"/>
      <c r="E593" s="2"/>
    </row>
    <row r="594" spans="1:5">
      <c r="A594" s="18"/>
      <c r="B594" s="19"/>
      <c r="D594" s="2"/>
      <c r="E594" s="2"/>
    </row>
    <row r="595" spans="1:5">
      <c r="A595" s="18"/>
      <c r="B595" s="19"/>
      <c r="D595" s="2"/>
      <c r="E595" s="2"/>
    </row>
    <row r="596" spans="1:5">
      <c r="A596" s="18"/>
      <c r="B596" s="19"/>
      <c r="D596" s="2"/>
      <c r="E596" s="2"/>
    </row>
    <row r="597" spans="1:5">
      <c r="A597" s="18"/>
      <c r="B597" s="19"/>
      <c r="D597" s="2"/>
      <c r="E597" s="2"/>
    </row>
    <row r="598" spans="1:5">
      <c r="A598" s="18"/>
      <c r="B598" s="19"/>
      <c r="D598" s="2"/>
      <c r="E598" s="2"/>
    </row>
    <row r="599" spans="1:5">
      <c r="A599" s="18"/>
      <c r="B599" s="19"/>
      <c r="D599" s="2"/>
      <c r="E599" s="2"/>
    </row>
    <row r="600" spans="1:5">
      <c r="A600" s="18"/>
      <c r="B600" s="19"/>
      <c r="D600" s="2"/>
      <c r="E600" s="2"/>
    </row>
    <row r="601" spans="1:5">
      <c r="A601" s="18"/>
      <c r="B601" s="19"/>
      <c r="D601" s="2"/>
      <c r="E601" s="2"/>
    </row>
    <row r="602" spans="1:5">
      <c r="A602" s="18"/>
      <c r="B602" s="19"/>
      <c r="D602" s="2"/>
      <c r="E602" s="2"/>
    </row>
    <row r="603" spans="1:5">
      <c r="A603" s="18"/>
      <c r="B603" s="19"/>
      <c r="D603" s="2"/>
      <c r="E603" s="2"/>
    </row>
    <row r="604" spans="1:5">
      <c r="A604" s="18"/>
      <c r="B604" s="19"/>
      <c r="D604" s="2"/>
      <c r="E604" s="2"/>
    </row>
    <row r="605" spans="1:5">
      <c r="A605" s="18"/>
      <c r="B605" s="19"/>
      <c r="D605" s="2"/>
      <c r="E605" s="2"/>
    </row>
    <row r="606" spans="1:5">
      <c r="A606" s="18"/>
      <c r="B606" s="19"/>
      <c r="D606" s="2"/>
      <c r="E606" s="2"/>
    </row>
    <row r="607" spans="1:5">
      <c r="A607" s="18"/>
      <c r="B607" s="19"/>
      <c r="D607" s="2"/>
      <c r="E607" s="2"/>
    </row>
    <row r="608" spans="1:5">
      <c r="A608" s="18"/>
      <c r="B608" s="19"/>
      <c r="D608" s="2"/>
      <c r="E608" s="2"/>
    </row>
    <row r="609" spans="1:5">
      <c r="A609" s="18"/>
      <c r="B609" s="19"/>
      <c r="D609" s="2"/>
      <c r="E609" s="2"/>
    </row>
    <row r="610" spans="1:5">
      <c r="A610" s="18"/>
      <c r="B610" s="19"/>
      <c r="D610" s="2"/>
      <c r="E610" s="2"/>
    </row>
    <row r="611" spans="1:5">
      <c r="A611" s="18"/>
      <c r="B611" s="19"/>
      <c r="D611" s="2"/>
      <c r="E611" s="2"/>
    </row>
    <row r="612" spans="1:5">
      <c r="A612" s="18"/>
      <c r="B612" s="19"/>
      <c r="D612" s="2"/>
      <c r="E612" s="2"/>
    </row>
    <row r="613" spans="1:5">
      <c r="A613" s="18"/>
      <c r="B613" s="19"/>
      <c r="D613" s="2"/>
      <c r="E613" s="2"/>
    </row>
    <row r="614" spans="1:5">
      <c r="A614" s="18"/>
      <c r="B614" s="19"/>
      <c r="D614" s="2"/>
      <c r="E614" s="2"/>
    </row>
    <row r="615" spans="1:5">
      <c r="A615" s="18"/>
      <c r="B615" s="19"/>
      <c r="D615" s="2"/>
      <c r="E615" s="2"/>
    </row>
    <row r="616" spans="1:5">
      <c r="A616" s="18"/>
      <c r="B616" s="19"/>
      <c r="D616" s="2"/>
      <c r="E616" s="2"/>
    </row>
    <row r="617" spans="1:5">
      <c r="A617" s="18"/>
      <c r="B617" s="19"/>
      <c r="D617" s="2"/>
      <c r="E617" s="2"/>
    </row>
    <row r="618" spans="1:5">
      <c r="A618" s="18"/>
      <c r="B618" s="19"/>
      <c r="D618" s="2"/>
      <c r="E618" s="2"/>
    </row>
    <row r="619" spans="1:5">
      <c r="A619" s="18"/>
      <c r="B619" s="19"/>
      <c r="D619" s="2"/>
      <c r="E619" s="2"/>
    </row>
    <row r="620" spans="1:5">
      <c r="A620" s="18"/>
      <c r="B620" s="19"/>
      <c r="D620" s="2"/>
      <c r="E620" s="2"/>
    </row>
    <row r="621" spans="1:5">
      <c r="A621" s="18"/>
      <c r="B621" s="19"/>
      <c r="D621" s="2"/>
      <c r="E621" s="2"/>
    </row>
    <row r="622" spans="1:5">
      <c r="A622" s="18"/>
      <c r="B622" s="19"/>
      <c r="D622" s="2"/>
      <c r="E622" s="2"/>
    </row>
    <row r="623" spans="1:5">
      <c r="A623" s="18"/>
      <c r="B623" s="19"/>
      <c r="D623" s="2"/>
      <c r="E623" s="2"/>
    </row>
    <row r="624" spans="1:5">
      <c r="A624" s="18"/>
      <c r="B624" s="19"/>
      <c r="D624" s="2"/>
      <c r="E624" s="2"/>
    </row>
    <row r="625" spans="1:5">
      <c r="A625" s="18"/>
      <c r="B625" s="19"/>
      <c r="D625" s="2"/>
      <c r="E625" s="2"/>
    </row>
    <row r="626" spans="1:5">
      <c r="A626" s="18"/>
      <c r="B626" s="19"/>
      <c r="D626" s="2"/>
      <c r="E626" s="2"/>
    </row>
    <row r="627" spans="1:5">
      <c r="A627" s="18"/>
      <c r="B627" s="19"/>
      <c r="D627" s="2"/>
      <c r="E627" s="2"/>
    </row>
    <row r="628" spans="1:5">
      <c r="A628" s="18"/>
      <c r="B628" s="19"/>
      <c r="D628" s="2"/>
      <c r="E628" s="2"/>
    </row>
    <row r="629" spans="1:5">
      <c r="A629" s="18"/>
      <c r="B629" s="19"/>
      <c r="D629" s="2"/>
      <c r="E629" s="2"/>
    </row>
    <row r="630" spans="1:5">
      <c r="A630" s="18"/>
      <c r="B630" s="19"/>
      <c r="D630" s="2"/>
      <c r="E630" s="2"/>
    </row>
    <row r="631" spans="1:5">
      <c r="A631" s="18"/>
      <c r="B631" s="19"/>
      <c r="D631" s="2"/>
      <c r="E631" s="2"/>
    </row>
    <row r="632" spans="1:5">
      <c r="A632" s="18"/>
      <c r="B632" s="19"/>
      <c r="D632" s="2"/>
      <c r="E632" s="2"/>
    </row>
    <row r="633" spans="1:5">
      <c r="A633" s="18"/>
      <c r="B633" s="19"/>
      <c r="D633" s="2"/>
      <c r="E633" s="2"/>
    </row>
    <row r="634" spans="1:5">
      <c r="A634" s="18"/>
      <c r="B634" s="19"/>
      <c r="D634" s="2"/>
      <c r="E634" s="2"/>
    </row>
    <row r="635" spans="1:5">
      <c r="A635" s="18"/>
      <c r="B635" s="19"/>
      <c r="D635" s="2"/>
      <c r="E635" s="2"/>
    </row>
    <row r="636" spans="1:5">
      <c r="A636" s="18"/>
      <c r="B636" s="19"/>
      <c r="D636" s="2"/>
      <c r="E636" s="2"/>
    </row>
    <row r="637" spans="1:5">
      <c r="A637" s="18"/>
      <c r="B637" s="19"/>
      <c r="D637" s="2"/>
      <c r="E637" s="2"/>
    </row>
    <row r="638" spans="1:5">
      <c r="A638" s="18"/>
      <c r="B638" s="19"/>
      <c r="D638" s="2"/>
      <c r="E638" s="2"/>
    </row>
    <row r="639" spans="1:5">
      <c r="A639" s="18"/>
      <c r="B639" s="19"/>
      <c r="D639" s="2"/>
      <c r="E639" s="2"/>
    </row>
    <row r="640" spans="1:5">
      <c r="A640" s="18"/>
      <c r="B640" s="19"/>
      <c r="D640" s="2"/>
      <c r="E640" s="2"/>
    </row>
    <row r="641" spans="1:5">
      <c r="A641" s="18"/>
      <c r="B641" s="19"/>
      <c r="D641" s="2"/>
      <c r="E641" s="2"/>
    </row>
    <row r="642" spans="1:5">
      <c r="A642" s="18"/>
      <c r="B642" s="19"/>
      <c r="D642" s="2"/>
      <c r="E642" s="2"/>
    </row>
    <row r="643" spans="1:5">
      <c r="A643" s="18"/>
      <c r="B643" s="19"/>
      <c r="D643" s="2"/>
      <c r="E643" s="2"/>
    </row>
    <row r="644" spans="1:5">
      <c r="A644" s="18"/>
      <c r="B644" s="19"/>
      <c r="D644" s="2"/>
      <c r="E644" s="2"/>
    </row>
    <row r="645" spans="1:5">
      <c r="A645" s="18"/>
      <c r="B645" s="19"/>
      <c r="D645" s="2"/>
      <c r="E645" s="2"/>
    </row>
    <row r="646" spans="1:5">
      <c r="A646" s="18"/>
      <c r="B646" s="19"/>
      <c r="D646" s="2"/>
      <c r="E646" s="2"/>
    </row>
    <row r="647" spans="1:5">
      <c r="A647" s="18"/>
      <c r="B647" s="19"/>
      <c r="D647" s="2"/>
      <c r="E647" s="2"/>
    </row>
    <row r="648" spans="1:5">
      <c r="A648" s="18"/>
      <c r="B648" s="19"/>
      <c r="D648" s="2"/>
      <c r="E648" s="2"/>
    </row>
    <row r="649" spans="1:5">
      <c r="A649" s="18"/>
      <c r="B649" s="19"/>
      <c r="D649" s="2"/>
      <c r="E649" s="2"/>
    </row>
    <row r="650" spans="1:5">
      <c r="A650" s="18"/>
      <c r="B650" s="19"/>
      <c r="D650" s="2"/>
      <c r="E650" s="2"/>
    </row>
    <row r="651" spans="1:5">
      <c r="A651" s="18"/>
      <c r="B651" s="19"/>
      <c r="D651" s="2"/>
      <c r="E651" s="2"/>
    </row>
    <row r="652" spans="1:5">
      <c r="A652" s="18"/>
      <c r="B652" s="19"/>
      <c r="D652" s="2"/>
      <c r="E652" s="2"/>
    </row>
    <row r="653" spans="1:5">
      <c r="A653" s="18"/>
      <c r="B653" s="19"/>
      <c r="D653" s="2"/>
      <c r="E653" s="2"/>
    </row>
    <row r="654" spans="1:5">
      <c r="A654" s="18"/>
      <c r="B654" s="19"/>
      <c r="D654" s="2"/>
      <c r="E654" s="2"/>
    </row>
    <row r="655" spans="1:5">
      <c r="A655" s="18"/>
      <c r="B655" s="19"/>
      <c r="D655" s="2"/>
      <c r="E655" s="2"/>
    </row>
    <row r="656" spans="1:5">
      <c r="A656" s="18"/>
      <c r="B656" s="19"/>
      <c r="D656" s="2"/>
      <c r="E656" s="2"/>
    </row>
    <row r="657" spans="1:5">
      <c r="A657" s="18"/>
      <c r="B657" s="19"/>
      <c r="D657" s="2"/>
      <c r="E657" s="2"/>
    </row>
    <row r="658" spans="1:5">
      <c r="A658" s="18"/>
      <c r="B658" s="19"/>
      <c r="D658" s="2"/>
      <c r="E658" s="2"/>
    </row>
    <row r="659" spans="1:5">
      <c r="A659" s="18"/>
      <c r="B659" s="19"/>
      <c r="D659" s="2"/>
      <c r="E659" s="2"/>
    </row>
    <row r="660" spans="1:5">
      <c r="A660" s="18"/>
      <c r="B660" s="19"/>
      <c r="D660" s="2"/>
      <c r="E660" s="2"/>
    </row>
    <row r="661" spans="1:5">
      <c r="A661" s="18"/>
      <c r="B661" s="19"/>
      <c r="D661" s="2"/>
      <c r="E661" s="2"/>
    </row>
    <row r="662" spans="1:5">
      <c r="A662" s="18"/>
      <c r="B662" s="19"/>
      <c r="D662" s="2"/>
      <c r="E662" s="2"/>
    </row>
    <row r="663" spans="1:5">
      <c r="A663" s="18"/>
      <c r="B663" s="19"/>
      <c r="D663" s="2"/>
      <c r="E663" s="2"/>
    </row>
    <row r="664" spans="1:5">
      <c r="A664" s="18"/>
      <c r="B664" s="19"/>
      <c r="D664" s="2"/>
      <c r="E664" s="2"/>
    </row>
    <row r="665" spans="1:5">
      <c r="A665" s="18"/>
      <c r="B665" s="19"/>
      <c r="D665" s="2"/>
      <c r="E665" s="2"/>
    </row>
    <row r="666" spans="1:5">
      <c r="A666" s="18"/>
      <c r="B666" s="19"/>
      <c r="D666" s="2"/>
      <c r="E666" s="2"/>
    </row>
    <row r="667" spans="1:5">
      <c r="A667" s="18"/>
      <c r="B667" s="19"/>
      <c r="D667" s="2"/>
      <c r="E667" s="2"/>
    </row>
    <row r="668" spans="1:5">
      <c r="A668" s="18"/>
      <c r="B668" s="19"/>
      <c r="D668" s="2"/>
      <c r="E668" s="2"/>
    </row>
    <row r="669" spans="1:5">
      <c r="A669" s="18"/>
      <c r="B669" s="19"/>
      <c r="D669" s="2"/>
      <c r="E669" s="2"/>
    </row>
    <row r="670" spans="1:5">
      <c r="A670" s="18"/>
      <c r="B670" s="19"/>
      <c r="D670" s="2"/>
      <c r="E670" s="2"/>
    </row>
    <row r="671" spans="1:5">
      <c r="A671" s="18"/>
      <c r="B671" s="19"/>
      <c r="D671" s="2"/>
      <c r="E671" s="2"/>
    </row>
    <row r="672" spans="1:5">
      <c r="A672" s="18"/>
      <c r="B672" s="19"/>
      <c r="D672" s="2"/>
      <c r="E672" s="2"/>
    </row>
    <row r="673" spans="1:5">
      <c r="A673" s="18"/>
      <c r="B673" s="19"/>
      <c r="D673" s="2"/>
      <c r="E673" s="2"/>
    </row>
    <row r="674" spans="1:5">
      <c r="A674" s="18"/>
      <c r="B674" s="19"/>
      <c r="D674" s="2"/>
      <c r="E674" s="2"/>
    </row>
    <row r="675" spans="1:5">
      <c r="A675" s="18"/>
      <c r="B675" s="19"/>
      <c r="D675" s="2"/>
      <c r="E675" s="2"/>
    </row>
    <row r="676" spans="1:5">
      <c r="A676" s="18"/>
      <c r="B676" s="19"/>
      <c r="D676" s="2"/>
      <c r="E676" s="2"/>
    </row>
    <row r="677" spans="1:5">
      <c r="A677" s="18"/>
      <c r="B677" s="19"/>
      <c r="D677" s="2"/>
      <c r="E677" s="2"/>
    </row>
    <row r="678" spans="1:5">
      <c r="A678" s="18"/>
      <c r="B678" s="19"/>
      <c r="D678" s="2"/>
      <c r="E678" s="2"/>
    </row>
    <row r="679" spans="1:5">
      <c r="A679" s="18"/>
      <c r="B679" s="19"/>
      <c r="D679" s="2"/>
      <c r="E679" s="2"/>
    </row>
    <row r="680" spans="1:5">
      <c r="A680" s="18"/>
      <c r="B680" s="19"/>
      <c r="D680" s="2"/>
      <c r="E680" s="2"/>
    </row>
    <row r="681" spans="1:5">
      <c r="A681" s="18"/>
      <c r="B681" s="19"/>
      <c r="D681" s="2"/>
      <c r="E681" s="2"/>
    </row>
    <row r="682" spans="1:5">
      <c r="A682" s="18"/>
      <c r="B682" s="19"/>
      <c r="D682" s="2"/>
      <c r="E682" s="2"/>
    </row>
    <row r="683" spans="1:5">
      <c r="A683" s="18"/>
      <c r="B683" s="19"/>
      <c r="D683" s="2"/>
      <c r="E683" s="2"/>
    </row>
    <row r="684" spans="1:5">
      <c r="A684" s="18"/>
      <c r="B684" s="19"/>
      <c r="D684" s="2"/>
      <c r="E684" s="2"/>
    </row>
    <row r="685" spans="1:5">
      <c r="A685" s="18"/>
      <c r="B685" s="19"/>
      <c r="D685" s="2"/>
      <c r="E685" s="2"/>
    </row>
    <row r="686" spans="1:5">
      <c r="A686" s="18"/>
      <c r="B686" s="19"/>
      <c r="D686" s="2"/>
      <c r="E686" s="2"/>
    </row>
    <row r="687" spans="1:5">
      <c r="A687" s="18"/>
      <c r="B687" s="19"/>
      <c r="D687" s="2"/>
      <c r="E687" s="2"/>
    </row>
    <row r="688" spans="1:5">
      <c r="A688" s="18"/>
      <c r="B688" s="19"/>
      <c r="D688" s="2"/>
      <c r="E688" s="2"/>
    </row>
    <row r="689" spans="1:5">
      <c r="A689" s="18"/>
      <c r="B689" s="19"/>
      <c r="D689" s="2"/>
      <c r="E689" s="2"/>
    </row>
    <row r="690" spans="1:5">
      <c r="A690" s="18"/>
      <c r="B690" s="19"/>
      <c r="D690" s="2"/>
      <c r="E690" s="2"/>
    </row>
    <row r="691" spans="1:5">
      <c r="A691" s="18"/>
      <c r="B691" s="19"/>
      <c r="D691" s="2"/>
      <c r="E691" s="2"/>
    </row>
    <row r="692" spans="1:5">
      <c r="A692" s="18"/>
      <c r="B692" s="19"/>
      <c r="D692" s="2"/>
      <c r="E692" s="2"/>
    </row>
    <row r="693" spans="1:5">
      <c r="A693" s="18"/>
      <c r="B693" s="19"/>
      <c r="D693" s="2"/>
      <c r="E693" s="2"/>
    </row>
    <row r="694" spans="1:5">
      <c r="A694" s="18"/>
      <c r="B694" s="19"/>
      <c r="D694" s="2"/>
      <c r="E694" s="2"/>
    </row>
    <row r="695" spans="1:5">
      <c r="A695" s="18"/>
      <c r="B695" s="19"/>
      <c r="D695" s="2"/>
      <c r="E695" s="2"/>
    </row>
    <row r="696" spans="1:5">
      <c r="A696" s="18"/>
      <c r="B696" s="19"/>
      <c r="D696" s="2"/>
      <c r="E696" s="2"/>
    </row>
    <row r="697" spans="1:5">
      <c r="A697" s="18"/>
      <c r="B697" s="19"/>
      <c r="D697" s="2"/>
      <c r="E697" s="2"/>
    </row>
    <row r="698" spans="1:5">
      <c r="A698" s="18"/>
      <c r="B698" s="19"/>
      <c r="D698" s="2"/>
      <c r="E698" s="2"/>
    </row>
    <row r="699" spans="1:5">
      <c r="A699" s="18"/>
      <c r="B699" s="19"/>
      <c r="D699" s="2"/>
      <c r="E699" s="2"/>
    </row>
    <row r="700" spans="1:5">
      <c r="A700" s="18"/>
      <c r="B700" s="19"/>
      <c r="D700" s="2"/>
      <c r="E700" s="2"/>
    </row>
    <row r="701" spans="1:5">
      <c r="A701" s="18"/>
      <c r="B701" s="19"/>
      <c r="D701" s="2"/>
      <c r="E701" s="2"/>
    </row>
    <row r="702" spans="1:5">
      <c r="A702" s="18"/>
      <c r="B702" s="19"/>
      <c r="D702" s="2"/>
      <c r="E702" s="2"/>
    </row>
    <row r="703" spans="1:5">
      <c r="A703" s="18"/>
      <c r="B703" s="19"/>
      <c r="D703" s="2"/>
      <c r="E703" s="2"/>
    </row>
    <row r="704" spans="1:5">
      <c r="A704" s="18"/>
      <c r="B704" s="19"/>
      <c r="D704" s="2"/>
      <c r="E704" s="2"/>
    </row>
    <row r="705" spans="1:5">
      <c r="A705" s="18"/>
      <c r="B705" s="19"/>
      <c r="D705" s="2"/>
      <c r="E705" s="2"/>
    </row>
    <row r="706" spans="1:5">
      <c r="A706" s="18"/>
      <c r="B706" s="19"/>
      <c r="D706" s="2"/>
      <c r="E706" s="2"/>
    </row>
    <row r="707" spans="1:5">
      <c r="A707" s="18"/>
      <c r="B707" s="19"/>
      <c r="D707" s="2"/>
      <c r="E707" s="2"/>
    </row>
    <row r="708" spans="1:5">
      <c r="A708" s="18"/>
      <c r="B708" s="19"/>
      <c r="D708" s="2"/>
      <c r="E708" s="2"/>
    </row>
    <row r="709" spans="1:5">
      <c r="A709" s="18"/>
      <c r="B709" s="19"/>
      <c r="D709" s="2"/>
      <c r="E709" s="2"/>
    </row>
    <row r="710" spans="1:5">
      <c r="A710" s="18"/>
      <c r="B710" s="19"/>
      <c r="D710" s="2"/>
      <c r="E710" s="2"/>
    </row>
    <row r="711" spans="1:5">
      <c r="A711" s="18"/>
      <c r="B711" s="19"/>
      <c r="D711" s="2"/>
      <c r="E711" s="2"/>
    </row>
    <row r="712" spans="1:5">
      <c r="A712" s="18"/>
      <c r="B712" s="19"/>
      <c r="D712" s="2"/>
      <c r="E712" s="2"/>
    </row>
    <row r="713" spans="1:5">
      <c r="A713" s="18"/>
      <c r="B713" s="19"/>
      <c r="D713" s="2"/>
      <c r="E713" s="2"/>
    </row>
    <row r="714" spans="1:5">
      <c r="A714" s="18"/>
      <c r="B714" s="19"/>
      <c r="D714" s="2"/>
      <c r="E714" s="2"/>
    </row>
    <row r="715" spans="1:5">
      <c r="A715" s="18"/>
      <c r="B715" s="19"/>
      <c r="D715" s="2"/>
      <c r="E715" s="2"/>
    </row>
    <row r="716" spans="1:5">
      <c r="A716" s="18"/>
      <c r="B716" s="19"/>
      <c r="D716" s="2"/>
      <c r="E716" s="2"/>
    </row>
    <row r="717" spans="1:5">
      <c r="A717" s="18"/>
      <c r="B717" s="19"/>
      <c r="D717" s="2"/>
      <c r="E717" s="2"/>
    </row>
    <row r="718" spans="1:5">
      <c r="A718" s="18"/>
      <c r="B718" s="19"/>
      <c r="D718" s="2"/>
      <c r="E718" s="2"/>
    </row>
    <row r="719" spans="1:5">
      <c r="A719" s="18"/>
      <c r="B719" s="19"/>
      <c r="D719" s="2"/>
      <c r="E719" s="2"/>
    </row>
    <row r="720" spans="1:5">
      <c r="A720" s="18"/>
      <c r="B720" s="19"/>
      <c r="D720" s="2"/>
      <c r="E720" s="2"/>
    </row>
    <row r="721" spans="1:5">
      <c r="A721" s="18"/>
      <c r="B721" s="19"/>
      <c r="D721" s="2"/>
      <c r="E721" s="2"/>
    </row>
    <row r="722" spans="1:5">
      <c r="A722" s="18"/>
      <c r="B722" s="19"/>
      <c r="D722" s="2"/>
      <c r="E722" s="2"/>
    </row>
    <row r="723" spans="1:5">
      <c r="A723" s="18"/>
      <c r="B723" s="19"/>
      <c r="D723" s="2"/>
      <c r="E723" s="2"/>
    </row>
    <row r="724" spans="1:5">
      <c r="A724" s="18"/>
      <c r="B724" s="19"/>
      <c r="D724" s="2"/>
      <c r="E724" s="2"/>
    </row>
    <row r="725" spans="1:5">
      <c r="A725" s="18"/>
      <c r="B725" s="19"/>
      <c r="D725" s="2"/>
      <c r="E725" s="2"/>
    </row>
    <row r="726" spans="1:5">
      <c r="A726" s="18"/>
      <c r="B726" s="19"/>
      <c r="D726" s="2"/>
      <c r="E726" s="2"/>
    </row>
    <row r="727" spans="1:5">
      <c r="A727" s="18"/>
      <c r="B727" s="19"/>
      <c r="D727" s="2"/>
      <c r="E727" s="2"/>
    </row>
    <row r="728" spans="1:5">
      <c r="A728" s="18"/>
      <c r="B728" s="19"/>
      <c r="D728" s="2"/>
      <c r="E728" s="2"/>
    </row>
    <row r="729" spans="1:5">
      <c r="A729" s="18"/>
      <c r="B729" s="19"/>
      <c r="D729" s="2"/>
      <c r="E729" s="2"/>
    </row>
    <row r="730" spans="1:5">
      <c r="A730" s="18"/>
      <c r="B730" s="19"/>
      <c r="D730" s="2"/>
      <c r="E730" s="2"/>
    </row>
    <row r="731" spans="1:5">
      <c r="A731" s="18"/>
      <c r="B731" s="19"/>
      <c r="D731" s="2"/>
      <c r="E731" s="2"/>
    </row>
    <row r="732" spans="1:5">
      <c r="A732" s="18"/>
      <c r="B732" s="19"/>
      <c r="D732" s="2"/>
      <c r="E732" s="2"/>
    </row>
    <row r="733" spans="1:5">
      <c r="A733" s="18"/>
      <c r="B733" s="19"/>
      <c r="D733" s="2"/>
      <c r="E733" s="2"/>
    </row>
    <row r="734" spans="1:5">
      <c r="A734" s="18"/>
      <c r="B734" s="19"/>
      <c r="D734" s="2"/>
      <c r="E734" s="2"/>
    </row>
    <row r="735" spans="1:5">
      <c r="A735" s="18"/>
      <c r="B735" s="19"/>
      <c r="D735" s="2"/>
      <c r="E735" s="2"/>
    </row>
    <row r="736" spans="1:5">
      <c r="A736" s="18"/>
      <c r="B736" s="19"/>
      <c r="D736" s="2"/>
      <c r="E736" s="2"/>
    </row>
    <row r="737" spans="1:5">
      <c r="A737" s="18"/>
      <c r="B737" s="19"/>
      <c r="D737" s="2"/>
      <c r="E737" s="2"/>
    </row>
    <row r="738" spans="1:5">
      <c r="A738" s="18"/>
      <c r="B738" s="19"/>
      <c r="D738" s="2"/>
      <c r="E738" s="2"/>
    </row>
    <row r="739" spans="1:5">
      <c r="A739" s="18"/>
      <c r="B739" s="19"/>
      <c r="D739" s="2"/>
      <c r="E739" s="2"/>
    </row>
    <row r="740" spans="1:5">
      <c r="A740" s="18"/>
      <c r="B740" s="19"/>
      <c r="D740" s="2"/>
      <c r="E740" s="2"/>
    </row>
    <row r="741" spans="1:5">
      <c r="A741" s="18"/>
      <c r="B741" s="19"/>
      <c r="D741" s="2"/>
      <c r="E741" s="2"/>
    </row>
    <row r="742" spans="1:5">
      <c r="A742" s="18"/>
      <c r="B742" s="19"/>
      <c r="D742" s="2"/>
      <c r="E742" s="2"/>
    </row>
    <row r="743" spans="1:5">
      <c r="A743" s="18"/>
      <c r="B743" s="19"/>
      <c r="D743" s="2"/>
      <c r="E743" s="2"/>
    </row>
    <row r="744" spans="1:5">
      <c r="A744" s="18"/>
      <c r="B744" s="19"/>
      <c r="D744" s="2"/>
      <c r="E744" s="2"/>
    </row>
    <row r="745" spans="1:5">
      <c r="A745" s="18"/>
      <c r="B745" s="19"/>
      <c r="D745" s="2"/>
      <c r="E745" s="2"/>
    </row>
    <row r="746" spans="1:5">
      <c r="A746" s="18"/>
      <c r="B746" s="19"/>
      <c r="D746" s="2"/>
      <c r="E746" s="2"/>
    </row>
    <row r="747" spans="1:5">
      <c r="A747" s="18"/>
      <c r="B747" s="19"/>
      <c r="D747" s="2"/>
      <c r="E747" s="2"/>
    </row>
    <row r="748" spans="1:5">
      <c r="A748" s="18"/>
      <c r="B748" s="19"/>
      <c r="D748" s="2"/>
      <c r="E748" s="2"/>
    </row>
    <row r="749" spans="1:5">
      <c r="A749" s="18"/>
      <c r="B749" s="19"/>
      <c r="D749" s="2"/>
      <c r="E749" s="2"/>
    </row>
    <row r="750" spans="1:5">
      <c r="A750" s="18"/>
      <c r="B750" s="19"/>
      <c r="D750" s="2"/>
      <c r="E750" s="2"/>
    </row>
    <row r="751" spans="1:5">
      <c r="A751" s="18"/>
      <c r="B751" s="19"/>
      <c r="D751" s="2"/>
      <c r="E751" s="2"/>
    </row>
    <row r="752" spans="1:5">
      <c r="A752" s="18"/>
      <c r="B752" s="19"/>
      <c r="D752" s="2"/>
      <c r="E752" s="2"/>
    </row>
    <row r="753" spans="1:5">
      <c r="A753" s="18"/>
      <c r="B753" s="19"/>
      <c r="D753" s="2"/>
      <c r="E753" s="2"/>
    </row>
    <row r="754" spans="1:5">
      <c r="A754" s="18"/>
      <c r="B754" s="19"/>
      <c r="D754" s="2"/>
      <c r="E754" s="2"/>
    </row>
    <row r="755" spans="1:5">
      <c r="A755" s="18"/>
      <c r="B755" s="19"/>
      <c r="D755" s="2"/>
      <c r="E755" s="2"/>
    </row>
    <row r="756" spans="1:5">
      <c r="A756" s="18"/>
      <c r="B756" s="19"/>
      <c r="D756" s="2"/>
      <c r="E756" s="2"/>
    </row>
    <row r="757" spans="1:5">
      <c r="A757" s="18"/>
      <c r="B757" s="19"/>
      <c r="D757" s="2"/>
      <c r="E757" s="2"/>
    </row>
    <row r="758" spans="1:5">
      <c r="A758" s="18"/>
      <c r="B758" s="19"/>
      <c r="D758" s="2"/>
      <c r="E758" s="2"/>
    </row>
    <row r="759" spans="1:5">
      <c r="A759" s="18"/>
      <c r="B759" s="19"/>
      <c r="D759" s="2"/>
      <c r="E759" s="2"/>
    </row>
    <row r="760" spans="1:5">
      <c r="A760" s="18"/>
      <c r="B760" s="19"/>
      <c r="D760" s="2"/>
      <c r="E760" s="2"/>
    </row>
    <row r="761" spans="1:5">
      <c r="A761" s="18"/>
      <c r="B761" s="19"/>
      <c r="D761" s="2"/>
      <c r="E761" s="2"/>
    </row>
    <row r="762" spans="1:5">
      <c r="A762" s="18"/>
      <c r="B762" s="19"/>
      <c r="D762" s="2"/>
      <c r="E762" s="2"/>
    </row>
    <row r="763" spans="1:5">
      <c r="A763" s="18"/>
      <c r="B763" s="19"/>
      <c r="D763" s="2"/>
      <c r="E763" s="2"/>
    </row>
    <row r="764" spans="1:5">
      <c r="A764" s="18"/>
      <c r="B764" s="19"/>
      <c r="D764" s="2"/>
      <c r="E764" s="2"/>
    </row>
    <row r="765" spans="1:5">
      <c r="A765" s="18"/>
      <c r="B765" s="19"/>
      <c r="D765" s="2"/>
      <c r="E765" s="2"/>
    </row>
    <row r="766" spans="1:5">
      <c r="A766" s="18"/>
      <c r="B766" s="19"/>
      <c r="D766" s="2"/>
      <c r="E766" s="2"/>
    </row>
    <row r="767" spans="1:5">
      <c r="A767" s="18"/>
      <c r="B767" s="19"/>
      <c r="D767" s="2"/>
      <c r="E767" s="2"/>
    </row>
    <row r="768" spans="1:5">
      <c r="A768" s="18"/>
      <c r="B768" s="19"/>
      <c r="D768" s="2"/>
      <c r="E768" s="2"/>
    </row>
    <row r="769" spans="1:5">
      <c r="A769" s="18"/>
      <c r="B769" s="19"/>
      <c r="D769" s="2"/>
      <c r="E769" s="2"/>
    </row>
    <row r="770" spans="1:5">
      <c r="A770" s="18"/>
      <c r="B770" s="19"/>
      <c r="D770" s="2"/>
      <c r="E770" s="2"/>
    </row>
    <row r="771" spans="1:5">
      <c r="A771" s="18"/>
      <c r="B771" s="19"/>
      <c r="D771" s="2"/>
      <c r="E771" s="2"/>
    </row>
    <row r="772" spans="1:5">
      <c r="A772" s="18"/>
      <c r="B772" s="19"/>
      <c r="D772" s="2"/>
      <c r="E772" s="2"/>
    </row>
    <row r="773" spans="1:5">
      <c r="A773" s="18"/>
      <c r="B773" s="19"/>
      <c r="D773" s="2"/>
      <c r="E773" s="2"/>
    </row>
    <row r="774" spans="1:5">
      <c r="A774" s="18"/>
      <c r="B774" s="19"/>
      <c r="D774" s="2"/>
      <c r="E774" s="2"/>
    </row>
    <row r="775" spans="1:5">
      <c r="A775" s="18"/>
      <c r="B775" s="19"/>
      <c r="D775" s="2"/>
      <c r="E775" s="2"/>
    </row>
    <row r="776" spans="1:5">
      <c r="A776" s="18"/>
      <c r="B776" s="19"/>
      <c r="D776" s="2"/>
      <c r="E776" s="2"/>
    </row>
    <row r="777" spans="1:5">
      <c r="A777" s="18"/>
      <c r="B777" s="19"/>
      <c r="D777" s="2"/>
      <c r="E777" s="2"/>
    </row>
    <row r="778" spans="1:5">
      <c r="A778" s="18"/>
      <c r="B778" s="19"/>
      <c r="D778" s="2"/>
      <c r="E778" s="2"/>
    </row>
    <row r="779" spans="1:5">
      <c r="A779" s="18"/>
      <c r="B779" s="19"/>
      <c r="D779" s="2"/>
      <c r="E779" s="2"/>
    </row>
    <row r="780" spans="1:5">
      <c r="A780" s="18"/>
      <c r="B780" s="19"/>
      <c r="D780" s="2"/>
      <c r="E780" s="2"/>
    </row>
    <row r="781" spans="1:5">
      <c r="A781" s="18"/>
      <c r="B781" s="19"/>
      <c r="D781" s="2"/>
      <c r="E781" s="2"/>
    </row>
    <row r="782" spans="1:5">
      <c r="A782" s="18"/>
      <c r="B782" s="19"/>
      <c r="D782" s="2"/>
      <c r="E782" s="2"/>
    </row>
    <row r="783" spans="1:5">
      <c r="A783" s="18"/>
      <c r="B783" s="19"/>
      <c r="D783" s="2"/>
      <c r="E783" s="2"/>
    </row>
    <row r="784" spans="1:5">
      <c r="A784" s="18"/>
      <c r="B784" s="19"/>
      <c r="D784" s="2"/>
      <c r="E784" s="2"/>
    </row>
    <row r="785" spans="1:5">
      <c r="A785" s="18"/>
      <c r="B785" s="19"/>
      <c r="D785" s="2"/>
      <c r="E785" s="2"/>
    </row>
    <row r="786" spans="1:5">
      <c r="A786" s="18"/>
      <c r="B786" s="19"/>
      <c r="D786" s="2"/>
      <c r="E786" s="2"/>
    </row>
    <row r="787" spans="1:5">
      <c r="A787" s="18"/>
      <c r="B787" s="19"/>
      <c r="D787" s="2"/>
      <c r="E787" s="2"/>
    </row>
    <row r="788" spans="1:5">
      <c r="A788" s="18"/>
      <c r="B788" s="19"/>
      <c r="D788" s="2"/>
      <c r="E788" s="2"/>
    </row>
    <row r="789" spans="1:5">
      <c r="A789" s="18"/>
      <c r="B789" s="19"/>
      <c r="D789" s="2"/>
      <c r="E789" s="2"/>
    </row>
    <row r="790" spans="1:5">
      <c r="A790" s="18"/>
      <c r="B790" s="19"/>
      <c r="D790" s="2"/>
      <c r="E790" s="2"/>
    </row>
    <row r="791" spans="1:5">
      <c r="A791" s="18"/>
      <c r="B791" s="19"/>
      <c r="D791" s="2"/>
      <c r="E791" s="2"/>
    </row>
    <row r="792" spans="1:5">
      <c r="A792" s="18"/>
      <c r="B792" s="19"/>
      <c r="D792" s="2"/>
      <c r="E792" s="2"/>
    </row>
    <row r="793" spans="1:5">
      <c r="A793" s="18"/>
      <c r="B793" s="19"/>
      <c r="D793" s="2"/>
      <c r="E793" s="2"/>
    </row>
    <row r="794" spans="1:5">
      <c r="A794" s="18"/>
      <c r="B794" s="19"/>
      <c r="D794" s="2"/>
      <c r="E794" s="2"/>
    </row>
    <row r="795" spans="1:5">
      <c r="A795" s="18"/>
      <c r="B795" s="19"/>
      <c r="D795" s="2"/>
      <c r="E795" s="2"/>
    </row>
    <row r="796" spans="1:5">
      <c r="A796" s="18"/>
      <c r="B796" s="19"/>
      <c r="D796" s="2"/>
      <c r="E796" s="2"/>
    </row>
    <row r="797" spans="1:5">
      <c r="A797" s="18"/>
      <c r="B797" s="19"/>
      <c r="D797" s="2"/>
      <c r="E797" s="2"/>
    </row>
    <row r="798" spans="1:5">
      <c r="A798" s="18"/>
      <c r="B798" s="19"/>
      <c r="D798" s="2"/>
      <c r="E798" s="2"/>
    </row>
    <row r="799" spans="1:5">
      <c r="A799" s="18"/>
      <c r="B799" s="19"/>
      <c r="D799" s="2"/>
      <c r="E799" s="2"/>
    </row>
    <row r="800" spans="1:5">
      <c r="A800" s="18"/>
      <c r="B800" s="19"/>
      <c r="D800" s="2"/>
      <c r="E800" s="2"/>
    </row>
    <row r="801" spans="1:5">
      <c r="A801" s="18"/>
      <c r="B801" s="19"/>
      <c r="D801" s="2"/>
      <c r="E801" s="2"/>
    </row>
    <row r="802" spans="1:5">
      <c r="A802" s="18"/>
      <c r="B802" s="19"/>
      <c r="D802" s="2"/>
      <c r="E802" s="2"/>
    </row>
    <row r="803" spans="1:5">
      <c r="A803" s="18"/>
      <c r="B803" s="19"/>
      <c r="D803" s="2"/>
      <c r="E803" s="2"/>
    </row>
    <row r="804" spans="1:5">
      <c r="A804" s="18"/>
      <c r="B804" s="19"/>
      <c r="D804" s="2"/>
      <c r="E804" s="2"/>
    </row>
    <row r="805" spans="1:5">
      <c r="A805" s="18"/>
      <c r="B805" s="19"/>
      <c r="D805" s="2"/>
      <c r="E805" s="2"/>
    </row>
    <row r="806" spans="1:5">
      <c r="A806" s="18"/>
      <c r="B806" s="19"/>
      <c r="D806" s="2"/>
      <c r="E806" s="2"/>
    </row>
    <row r="807" spans="1:5">
      <c r="A807" s="18"/>
      <c r="B807" s="19"/>
      <c r="D807" s="2"/>
      <c r="E807" s="2"/>
    </row>
    <row r="808" spans="1:5">
      <c r="A808" s="18"/>
      <c r="B808" s="19"/>
      <c r="D808" s="2"/>
      <c r="E808" s="2"/>
    </row>
    <row r="809" spans="1:5">
      <c r="A809" s="18"/>
      <c r="B809" s="19"/>
      <c r="D809" s="2"/>
      <c r="E809" s="2"/>
    </row>
    <row r="810" spans="1:5">
      <c r="A810" s="18"/>
      <c r="B810" s="19"/>
      <c r="D810" s="2"/>
      <c r="E810" s="2"/>
    </row>
    <row r="811" spans="1:5">
      <c r="A811" s="18"/>
      <c r="B811" s="19"/>
      <c r="D811" s="2"/>
      <c r="E811" s="2"/>
    </row>
    <row r="812" spans="1:5">
      <c r="A812" s="18"/>
      <c r="B812" s="19"/>
      <c r="D812" s="2"/>
      <c r="E812" s="2"/>
    </row>
    <row r="813" spans="1:5">
      <c r="A813" s="18"/>
      <c r="B813" s="19"/>
      <c r="D813" s="2"/>
      <c r="E813" s="2"/>
    </row>
    <row r="814" spans="1:5">
      <c r="A814" s="18"/>
      <c r="B814" s="19"/>
      <c r="D814" s="2"/>
      <c r="E814" s="2"/>
    </row>
    <row r="815" spans="1:5">
      <c r="A815" s="18"/>
      <c r="B815" s="19"/>
      <c r="D815" s="2"/>
      <c r="E815" s="2"/>
    </row>
    <row r="816" spans="1:5">
      <c r="A816" s="18"/>
      <c r="B816" s="19"/>
      <c r="D816" s="2"/>
      <c r="E816" s="2"/>
    </row>
    <row r="817" spans="1:5">
      <c r="A817" s="18"/>
      <c r="B817" s="19"/>
      <c r="D817" s="2"/>
      <c r="E817" s="2"/>
    </row>
    <row r="818" spans="1:5">
      <c r="A818" s="18"/>
      <c r="B818" s="19"/>
      <c r="D818" s="2"/>
      <c r="E818" s="2"/>
    </row>
    <row r="819" spans="1:5">
      <c r="A819" s="18"/>
      <c r="B819" s="19"/>
      <c r="D819" s="2"/>
      <c r="E819" s="2"/>
    </row>
    <row r="820" spans="1:5">
      <c r="A820" s="18"/>
      <c r="B820" s="19"/>
      <c r="D820" s="2"/>
      <c r="E820" s="2"/>
    </row>
    <row r="821" spans="1:5">
      <c r="A821" s="18"/>
      <c r="B821" s="19"/>
      <c r="D821" s="2"/>
      <c r="E821" s="2"/>
    </row>
    <row r="822" spans="1:5">
      <c r="A822" s="18"/>
      <c r="B822" s="19"/>
      <c r="D822" s="2"/>
      <c r="E822" s="2"/>
    </row>
    <row r="823" spans="1:5">
      <c r="A823" s="18"/>
      <c r="B823" s="19"/>
      <c r="D823" s="2"/>
      <c r="E823" s="2"/>
    </row>
    <row r="824" spans="1:5">
      <c r="A824" s="18"/>
      <c r="B824" s="19"/>
      <c r="D824" s="2"/>
      <c r="E824" s="2"/>
    </row>
    <row r="825" spans="1:5">
      <c r="A825" s="18"/>
      <c r="B825" s="19"/>
      <c r="D825" s="2"/>
      <c r="E825" s="2"/>
    </row>
    <row r="826" spans="1:5">
      <c r="A826" s="18"/>
      <c r="B826" s="19"/>
      <c r="D826" s="2"/>
      <c r="E826" s="2"/>
    </row>
    <row r="827" spans="1:5">
      <c r="A827" s="18"/>
      <c r="B827" s="19"/>
      <c r="D827" s="2"/>
      <c r="E827" s="2"/>
    </row>
    <row r="828" spans="1:5">
      <c r="A828" s="18"/>
      <c r="B828" s="19"/>
      <c r="D828" s="2"/>
      <c r="E828" s="2"/>
    </row>
    <row r="829" spans="1:5">
      <c r="A829" s="18"/>
      <c r="B829" s="19"/>
      <c r="D829" s="2"/>
      <c r="E829" s="2"/>
    </row>
    <row r="830" spans="1:5">
      <c r="A830" s="18"/>
      <c r="B830" s="19"/>
      <c r="D830" s="2"/>
      <c r="E830" s="2"/>
    </row>
    <row r="831" spans="1:5">
      <c r="A831" s="18"/>
      <c r="B831" s="19"/>
      <c r="D831" s="2"/>
      <c r="E831" s="2"/>
    </row>
    <row r="832" spans="1:5">
      <c r="A832" s="18"/>
      <c r="B832" s="19"/>
      <c r="D832" s="2"/>
      <c r="E832" s="2"/>
    </row>
    <row r="833" spans="1:5">
      <c r="A833" s="18"/>
      <c r="B833" s="19"/>
      <c r="D833" s="2"/>
      <c r="E833" s="2"/>
    </row>
    <row r="834" spans="1:5">
      <c r="A834" s="18"/>
      <c r="B834" s="19"/>
      <c r="D834" s="2"/>
      <c r="E834" s="2"/>
    </row>
    <row r="835" spans="1:5">
      <c r="A835" s="18"/>
      <c r="B835" s="19"/>
      <c r="D835" s="2"/>
      <c r="E835" s="2"/>
    </row>
    <row r="836" spans="1:5">
      <c r="A836" s="18"/>
      <c r="B836" s="19"/>
      <c r="D836" s="2"/>
      <c r="E836" s="2"/>
    </row>
    <row r="837" spans="1:5">
      <c r="A837" s="18"/>
      <c r="B837" s="19"/>
      <c r="D837" s="2"/>
      <c r="E837" s="2"/>
    </row>
    <row r="838" spans="1:5">
      <c r="A838" s="18"/>
      <c r="B838" s="19"/>
      <c r="D838" s="2"/>
      <c r="E838" s="2"/>
    </row>
    <row r="839" spans="1:5">
      <c r="A839" s="18"/>
      <c r="B839" s="19"/>
      <c r="D839" s="2"/>
      <c r="E839" s="2"/>
    </row>
    <row r="840" spans="1:5">
      <c r="A840" s="18"/>
      <c r="B840" s="19"/>
      <c r="D840" s="2"/>
      <c r="E840" s="2"/>
    </row>
    <row r="841" spans="1:5">
      <c r="A841" s="18"/>
      <c r="B841" s="19"/>
      <c r="D841" s="2"/>
      <c r="E841" s="2"/>
    </row>
    <row r="842" spans="1:5">
      <c r="A842" s="18"/>
      <c r="B842" s="19"/>
      <c r="D842" s="2"/>
      <c r="E842" s="2"/>
    </row>
    <row r="843" spans="1:5">
      <c r="A843" s="18"/>
      <c r="B843" s="19"/>
      <c r="D843" s="2"/>
      <c r="E843" s="2"/>
    </row>
    <row r="844" spans="1:5">
      <c r="A844" s="18"/>
      <c r="B844" s="19"/>
      <c r="D844" s="2"/>
      <c r="E844" s="2"/>
    </row>
    <row r="845" spans="1:5">
      <c r="A845" s="18"/>
      <c r="B845" s="19"/>
      <c r="D845" s="2"/>
      <c r="E845" s="2"/>
    </row>
    <row r="846" spans="1:5">
      <c r="A846" s="18"/>
      <c r="B846" s="19"/>
      <c r="D846" s="2"/>
      <c r="E846" s="2"/>
    </row>
    <row r="847" spans="1:5">
      <c r="A847" s="18"/>
      <c r="B847" s="19"/>
      <c r="D847" s="2"/>
      <c r="E847" s="2"/>
    </row>
    <row r="848" spans="1:5">
      <c r="A848" s="18"/>
      <c r="B848" s="19"/>
      <c r="D848" s="2"/>
      <c r="E848" s="2"/>
    </row>
    <row r="849" spans="1:5">
      <c r="A849" s="18"/>
      <c r="B849" s="19"/>
      <c r="D849" s="2"/>
      <c r="E849" s="2"/>
    </row>
    <row r="850" spans="1:5">
      <c r="A850" s="18"/>
      <c r="B850" s="19"/>
      <c r="D850" s="2"/>
      <c r="E850" s="2"/>
    </row>
    <row r="851" spans="1:5">
      <c r="A851" s="18"/>
      <c r="B851" s="19"/>
      <c r="D851" s="2"/>
      <c r="E851" s="2"/>
    </row>
    <row r="852" spans="1:5">
      <c r="A852" s="18"/>
      <c r="B852" s="19"/>
      <c r="D852" s="2"/>
      <c r="E852" s="2"/>
    </row>
    <row r="853" spans="1:5">
      <c r="A853" s="18"/>
      <c r="B853" s="19"/>
      <c r="D853" s="2"/>
      <c r="E853" s="2"/>
    </row>
    <row r="854" spans="1:5">
      <c r="A854" s="18"/>
      <c r="B854" s="19"/>
      <c r="D854" s="2"/>
      <c r="E854" s="2"/>
    </row>
    <row r="855" spans="1:5">
      <c r="A855" s="18"/>
      <c r="B855" s="19"/>
      <c r="D855" s="2"/>
      <c r="E855" s="2"/>
    </row>
    <row r="856" spans="1:5">
      <c r="A856" s="18"/>
      <c r="B856" s="19"/>
      <c r="D856" s="2"/>
      <c r="E856" s="2"/>
    </row>
    <row r="857" spans="1:5">
      <c r="A857" s="18"/>
      <c r="B857" s="19"/>
      <c r="D857" s="2"/>
      <c r="E857" s="2"/>
    </row>
    <row r="858" spans="1:5">
      <c r="A858" s="18"/>
      <c r="B858" s="19"/>
      <c r="D858" s="2"/>
      <c r="E858" s="2"/>
    </row>
    <row r="859" spans="1:5">
      <c r="A859" s="18"/>
      <c r="B859" s="19"/>
      <c r="D859" s="2"/>
      <c r="E859" s="2"/>
    </row>
    <row r="860" spans="1:5">
      <c r="A860" s="18"/>
      <c r="B860" s="19"/>
      <c r="D860" s="2"/>
      <c r="E860" s="2"/>
    </row>
    <row r="861" spans="1:5">
      <c r="A861" s="18"/>
      <c r="B861" s="19"/>
      <c r="D861" s="2"/>
      <c r="E861" s="2"/>
    </row>
    <row r="862" spans="1:5">
      <c r="A862" s="18"/>
      <c r="B862" s="19"/>
      <c r="D862" s="2"/>
      <c r="E862" s="2"/>
    </row>
    <row r="863" spans="1:5">
      <c r="A863" s="18"/>
      <c r="B863" s="19"/>
      <c r="D863" s="2"/>
      <c r="E863" s="2"/>
    </row>
    <row r="864" spans="1:5">
      <c r="A864" s="18"/>
      <c r="B864" s="19"/>
      <c r="D864" s="2"/>
      <c r="E864" s="2"/>
    </row>
    <row r="865" spans="1:5">
      <c r="A865" s="18"/>
      <c r="B865" s="19"/>
      <c r="D865" s="2"/>
      <c r="E865" s="2"/>
    </row>
    <row r="866" spans="1:5">
      <c r="A866" s="18"/>
      <c r="B866" s="19"/>
      <c r="D866" s="2"/>
      <c r="E866" s="2"/>
    </row>
    <row r="867" spans="1:5">
      <c r="A867" s="18"/>
      <c r="B867" s="19"/>
      <c r="D867" s="2"/>
      <c r="E867" s="2"/>
    </row>
    <row r="868" spans="1:5">
      <c r="A868" s="18"/>
      <c r="B868" s="19"/>
      <c r="D868" s="2"/>
      <c r="E868" s="2"/>
    </row>
    <row r="869" spans="1:5">
      <c r="A869" s="18"/>
      <c r="B869" s="19"/>
      <c r="D869" s="2"/>
      <c r="E869" s="2"/>
    </row>
    <row r="870" spans="1:5">
      <c r="A870" s="18"/>
      <c r="B870" s="19"/>
      <c r="D870" s="2"/>
      <c r="E870" s="2"/>
    </row>
    <row r="871" spans="1:5">
      <c r="A871" s="18"/>
      <c r="B871" s="19"/>
      <c r="D871" s="2"/>
      <c r="E871" s="2"/>
    </row>
    <row r="872" spans="1:5">
      <c r="A872" s="18"/>
      <c r="B872" s="19"/>
      <c r="D872" s="2"/>
      <c r="E872" s="2"/>
    </row>
    <row r="873" spans="1:5">
      <c r="A873" s="18"/>
      <c r="B873" s="19"/>
      <c r="D873" s="2"/>
      <c r="E873" s="2"/>
    </row>
    <row r="874" spans="1:5">
      <c r="A874" s="18"/>
      <c r="B874" s="19"/>
      <c r="D874" s="2"/>
      <c r="E874" s="2"/>
    </row>
    <row r="875" spans="1:5">
      <c r="A875" s="18"/>
      <c r="B875" s="19"/>
      <c r="D875" s="2"/>
      <c r="E875" s="2"/>
    </row>
    <row r="876" spans="1:5">
      <c r="A876" s="18"/>
      <c r="B876" s="19"/>
      <c r="D876" s="2"/>
      <c r="E876" s="2"/>
    </row>
    <row r="877" spans="1:5">
      <c r="A877" s="18"/>
      <c r="B877" s="19"/>
      <c r="D877" s="2"/>
      <c r="E877" s="2"/>
    </row>
    <row r="878" spans="1:5">
      <c r="A878" s="18"/>
      <c r="B878" s="19"/>
      <c r="D878" s="2"/>
      <c r="E878" s="2"/>
    </row>
    <row r="879" spans="1:5">
      <c r="A879" s="18"/>
      <c r="B879" s="19"/>
      <c r="D879" s="2"/>
      <c r="E879" s="2"/>
    </row>
    <row r="880" spans="1:5">
      <c r="A880" s="18"/>
      <c r="B880" s="19"/>
      <c r="D880" s="2"/>
      <c r="E880" s="2"/>
    </row>
    <row r="881" spans="1:5">
      <c r="A881" s="18"/>
      <c r="B881" s="19"/>
      <c r="D881" s="2"/>
      <c r="E881" s="2"/>
    </row>
    <row r="882" spans="1:5">
      <c r="A882" s="18"/>
      <c r="B882" s="19"/>
      <c r="D882" s="2"/>
      <c r="E882" s="2"/>
    </row>
    <row r="883" spans="1:5">
      <c r="A883" s="18"/>
      <c r="B883" s="19"/>
      <c r="D883" s="2"/>
      <c r="E883" s="2"/>
    </row>
    <row r="884" spans="1:5">
      <c r="A884" s="18"/>
      <c r="B884" s="19"/>
      <c r="D884" s="2"/>
      <c r="E884" s="2"/>
    </row>
    <row r="885" spans="1:5">
      <c r="A885" s="18"/>
      <c r="B885" s="19"/>
      <c r="D885" s="2"/>
      <c r="E885" s="2"/>
    </row>
    <row r="886" spans="1:5">
      <c r="A886" s="18"/>
      <c r="B886" s="19"/>
      <c r="D886" s="2"/>
      <c r="E886" s="2"/>
    </row>
    <row r="887" spans="1:5">
      <c r="A887" s="18"/>
      <c r="B887" s="19"/>
      <c r="D887" s="2"/>
      <c r="E887" s="2"/>
    </row>
    <row r="888" spans="1:5">
      <c r="A888" s="18"/>
      <c r="B888" s="19"/>
      <c r="D888" s="2"/>
      <c r="E888" s="2"/>
    </row>
    <row r="889" spans="1:5">
      <c r="A889" s="18"/>
      <c r="B889" s="19"/>
      <c r="D889" s="2"/>
      <c r="E889" s="2"/>
    </row>
    <row r="890" spans="1:5">
      <c r="A890" s="18"/>
      <c r="B890" s="19"/>
      <c r="D890" s="2"/>
      <c r="E890" s="2"/>
    </row>
    <row r="891" spans="1:5">
      <c r="A891" s="18"/>
      <c r="B891" s="19"/>
      <c r="D891" s="2"/>
      <c r="E891" s="2"/>
    </row>
    <row r="892" spans="1:5">
      <c r="A892" s="18"/>
      <c r="B892" s="19"/>
      <c r="D892" s="2"/>
      <c r="E892" s="2"/>
    </row>
    <row r="893" spans="1:5">
      <c r="A893" s="18"/>
      <c r="B893" s="19"/>
      <c r="D893" s="2"/>
      <c r="E893" s="2"/>
    </row>
    <row r="894" spans="1:5">
      <c r="A894" s="18"/>
      <c r="B894" s="19"/>
      <c r="D894" s="2"/>
      <c r="E894" s="2"/>
    </row>
    <row r="895" spans="1:5">
      <c r="A895" s="18"/>
      <c r="B895" s="19"/>
      <c r="D895" s="2"/>
      <c r="E895" s="2"/>
    </row>
    <row r="896" spans="1:5">
      <c r="A896" s="18"/>
      <c r="B896" s="19"/>
      <c r="D896" s="2"/>
      <c r="E896" s="2"/>
    </row>
    <row r="897" spans="1:5">
      <c r="A897" s="18"/>
      <c r="B897" s="19"/>
      <c r="D897" s="2"/>
      <c r="E897" s="2"/>
    </row>
    <row r="898" spans="1:5">
      <c r="A898" s="18"/>
      <c r="B898" s="19"/>
      <c r="D898" s="2"/>
      <c r="E898" s="2"/>
    </row>
    <row r="899" spans="1:5">
      <c r="A899" s="18"/>
      <c r="B899" s="19"/>
      <c r="D899" s="2"/>
      <c r="E899" s="2"/>
    </row>
    <row r="900" spans="1:5">
      <c r="A900" s="18"/>
      <c r="B900" s="19"/>
      <c r="D900" s="2"/>
      <c r="E900" s="2"/>
    </row>
    <row r="901" spans="1:5">
      <c r="A901" s="18"/>
      <c r="B901" s="19"/>
      <c r="D901" s="2"/>
      <c r="E901" s="2"/>
    </row>
    <row r="902" spans="1:5">
      <c r="A902" s="18"/>
      <c r="B902" s="19"/>
      <c r="D902" s="2"/>
      <c r="E902" s="2"/>
    </row>
    <row r="903" spans="1:5">
      <c r="A903" s="18"/>
      <c r="B903" s="19"/>
      <c r="D903" s="2"/>
      <c r="E903" s="2"/>
    </row>
    <row r="904" spans="1:5">
      <c r="A904" s="18"/>
      <c r="B904" s="19"/>
      <c r="D904" s="2"/>
      <c r="E904" s="2"/>
    </row>
    <row r="905" spans="1:5">
      <c r="A905" s="18"/>
      <c r="B905" s="19"/>
      <c r="D905" s="2"/>
      <c r="E905" s="2"/>
    </row>
    <row r="906" spans="1:5">
      <c r="A906" s="18"/>
      <c r="B906" s="19"/>
      <c r="D906" s="2"/>
      <c r="E906" s="2"/>
    </row>
    <row r="907" spans="1:5">
      <c r="A907" s="18"/>
      <c r="B907" s="19"/>
      <c r="D907" s="2"/>
      <c r="E907" s="2"/>
    </row>
    <row r="908" spans="1:5">
      <c r="A908" s="18"/>
      <c r="B908" s="19"/>
      <c r="D908" s="2"/>
      <c r="E908" s="2"/>
    </row>
    <row r="909" spans="1:5">
      <c r="A909" s="18"/>
      <c r="B909" s="19"/>
      <c r="D909" s="2"/>
      <c r="E909" s="2"/>
    </row>
    <row r="910" spans="1:5">
      <c r="A910" s="18"/>
      <c r="B910" s="19"/>
      <c r="D910" s="2"/>
      <c r="E910" s="2"/>
    </row>
    <row r="911" spans="1:5">
      <c r="A911" s="18"/>
      <c r="B911" s="19"/>
      <c r="D911" s="2"/>
      <c r="E911" s="2"/>
    </row>
    <row r="912" spans="1:5">
      <c r="A912" s="18"/>
      <c r="B912" s="19"/>
      <c r="D912" s="2"/>
      <c r="E912" s="2"/>
    </row>
    <row r="913" spans="1:5">
      <c r="A913" s="18"/>
      <c r="B913" s="19"/>
      <c r="D913" s="2"/>
      <c r="E913" s="2"/>
    </row>
    <row r="914" spans="1:5">
      <c r="A914" s="18"/>
      <c r="B914" s="19"/>
      <c r="D914" s="2"/>
      <c r="E914" s="2"/>
    </row>
    <row r="915" spans="1:5">
      <c r="A915" s="18"/>
      <c r="B915" s="19"/>
      <c r="D915" s="2"/>
      <c r="E915" s="2"/>
    </row>
    <row r="916" spans="1:5">
      <c r="A916" s="18"/>
      <c r="B916" s="19"/>
      <c r="D916" s="2"/>
      <c r="E916" s="2"/>
    </row>
    <row r="917" spans="1:5">
      <c r="A917" s="18"/>
      <c r="B917" s="19"/>
      <c r="D917" s="2"/>
      <c r="E917" s="2"/>
    </row>
    <row r="918" spans="1:5">
      <c r="A918" s="18"/>
      <c r="B918" s="19"/>
      <c r="D918" s="2"/>
      <c r="E918" s="2"/>
    </row>
    <row r="919" spans="1:5">
      <c r="A919" s="18"/>
      <c r="B919" s="19"/>
      <c r="D919" s="2"/>
      <c r="E919" s="2"/>
    </row>
    <row r="920" spans="1:5">
      <c r="A920" s="18"/>
      <c r="B920" s="19"/>
      <c r="D920" s="2"/>
      <c r="E920" s="2"/>
    </row>
    <row r="921" spans="1:5">
      <c r="A921" s="18"/>
      <c r="B921" s="19"/>
      <c r="D921" s="2"/>
      <c r="E921" s="2"/>
    </row>
    <row r="922" spans="1:5">
      <c r="A922" s="18"/>
      <c r="B922" s="19"/>
      <c r="D922" s="2"/>
      <c r="E922" s="2"/>
    </row>
    <row r="923" spans="1:5">
      <c r="A923" s="18"/>
      <c r="B923" s="19"/>
      <c r="D923" s="2"/>
      <c r="E923" s="2"/>
    </row>
    <row r="924" spans="1:5">
      <c r="A924" s="18"/>
      <c r="B924" s="19"/>
      <c r="D924" s="2"/>
      <c r="E924" s="2"/>
    </row>
    <row r="925" spans="1:5">
      <c r="A925" s="18"/>
      <c r="B925" s="19"/>
      <c r="D925" s="2"/>
      <c r="E925" s="2"/>
    </row>
    <row r="926" spans="1:5">
      <c r="A926" s="18"/>
      <c r="B926" s="19"/>
      <c r="D926" s="2"/>
      <c r="E926" s="2"/>
    </row>
    <row r="927" spans="1:5">
      <c r="A927" s="18"/>
      <c r="B927" s="19"/>
      <c r="D927" s="2"/>
      <c r="E927" s="2"/>
    </row>
    <row r="928" spans="1:5">
      <c r="A928" s="18"/>
      <c r="B928" s="19"/>
      <c r="D928" s="2"/>
      <c r="E928" s="2"/>
    </row>
    <row r="929" spans="1:5">
      <c r="A929" s="18"/>
      <c r="B929" s="19"/>
      <c r="D929" s="2"/>
      <c r="E929" s="2"/>
    </row>
    <row r="930" spans="1:5">
      <c r="A930" s="18"/>
      <c r="B930" s="19"/>
      <c r="D930" s="2"/>
      <c r="E930" s="2"/>
    </row>
    <row r="931" spans="1:5">
      <c r="A931" s="18"/>
      <c r="B931" s="19"/>
      <c r="D931" s="2"/>
      <c r="E931" s="2"/>
    </row>
    <row r="932" spans="1:5">
      <c r="A932" s="18"/>
      <c r="B932" s="19"/>
      <c r="D932" s="2"/>
      <c r="E932" s="2"/>
    </row>
    <row r="933" spans="1:5">
      <c r="A933" s="18"/>
      <c r="B933" s="19"/>
      <c r="D933" s="2"/>
      <c r="E933" s="2"/>
    </row>
    <row r="934" spans="1:5">
      <c r="A934" s="18"/>
      <c r="B934" s="19"/>
      <c r="D934" s="2"/>
      <c r="E934" s="2"/>
    </row>
    <row r="935" spans="1:5">
      <c r="A935" s="18"/>
      <c r="B935" s="19"/>
      <c r="D935" s="2"/>
      <c r="E935" s="2"/>
    </row>
    <row r="936" spans="1:5">
      <c r="A936" s="18"/>
      <c r="B936" s="19"/>
      <c r="D936" s="2"/>
      <c r="E936" s="2"/>
    </row>
    <row r="937" spans="1:5">
      <c r="A937" s="18"/>
      <c r="B937" s="19"/>
      <c r="D937" s="2"/>
      <c r="E937" s="2"/>
    </row>
    <row r="938" spans="1:5">
      <c r="A938" s="18"/>
      <c r="B938" s="19"/>
      <c r="D938" s="2"/>
      <c r="E938" s="2"/>
    </row>
    <row r="939" spans="1:5">
      <c r="A939" s="18"/>
      <c r="B939" s="19"/>
      <c r="D939" s="2"/>
      <c r="E939" s="2"/>
    </row>
    <row r="940" spans="1:5">
      <c r="A940" s="18"/>
      <c r="B940" s="19"/>
      <c r="D940" s="2"/>
      <c r="E940" s="2"/>
    </row>
    <row r="941" spans="1:5">
      <c r="A941" s="18"/>
      <c r="B941" s="19"/>
      <c r="D941" s="2"/>
      <c r="E941" s="2"/>
    </row>
    <row r="942" spans="1:5">
      <c r="A942" s="18"/>
      <c r="B942" s="19"/>
      <c r="D942" s="2"/>
      <c r="E942" s="2"/>
    </row>
    <row r="943" spans="1:5">
      <c r="A943" s="18"/>
      <c r="B943" s="19"/>
      <c r="D943" s="2"/>
      <c r="E943" s="2"/>
    </row>
    <row r="944" spans="1:5">
      <c r="A944" s="18"/>
      <c r="B944" s="19"/>
      <c r="D944" s="2"/>
      <c r="E944" s="2"/>
    </row>
    <row r="945" spans="1:5">
      <c r="A945" s="18"/>
      <c r="B945" s="19"/>
      <c r="D945" s="2"/>
      <c r="E945" s="2"/>
    </row>
    <row r="946" spans="1:5">
      <c r="A946" s="18"/>
      <c r="B946" s="19"/>
      <c r="D946" s="2"/>
      <c r="E946" s="2"/>
    </row>
    <row r="947" spans="1:5">
      <c r="A947" s="18"/>
      <c r="B947" s="19"/>
      <c r="D947" s="2"/>
      <c r="E947" s="2"/>
    </row>
    <row r="948" spans="1:5">
      <c r="A948" s="18"/>
      <c r="B948" s="19"/>
      <c r="D948" s="2"/>
      <c r="E948" s="2"/>
    </row>
    <row r="949" spans="1:5">
      <c r="A949" s="18"/>
      <c r="B949" s="19"/>
      <c r="D949" s="2"/>
      <c r="E949" s="2"/>
    </row>
    <row r="950" spans="1:5">
      <c r="A950" s="18"/>
      <c r="B950" s="19"/>
      <c r="D950" s="2"/>
      <c r="E950" s="2"/>
    </row>
    <row r="951" spans="1:5">
      <c r="A951" s="18"/>
      <c r="B951" s="19"/>
      <c r="D951" s="2"/>
      <c r="E951" s="2"/>
    </row>
    <row r="952" spans="1:5">
      <c r="A952" s="18"/>
      <c r="B952" s="19"/>
      <c r="D952" s="2"/>
      <c r="E952" s="2"/>
    </row>
    <row r="953" spans="1:5">
      <c r="A953" s="18"/>
      <c r="B953" s="19"/>
      <c r="D953" s="2"/>
      <c r="E953" s="2"/>
    </row>
    <row r="954" spans="1:5">
      <c r="A954" s="18"/>
      <c r="B954" s="19"/>
      <c r="D954" s="2"/>
      <c r="E954" s="2"/>
    </row>
    <row r="955" spans="1:5">
      <c r="A955" s="18"/>
      <c r="B955" s="19"/>
      <c r="D955" s="2"/>
      <c r="E955" s="2"/>
    </row>
    <row r="956" spans="1:5">
      <c r="A956" s="18"/>
      <c r="B956" s="19"/>
      <c r="D956" s="2"/>
      <c r="E956" s="2"/>
    </row>
    <row r="957" spans="1:5">
      <c r="A957" s="18"/>
      <c r="B957" s="19"/>
      <c r="D957" s="2"/>
      <c r="E957" s="2"/>
    </row>
    <row r="958" spans="1:5">
      <c r="A958" s="18"/>
      <c r="B958" s="19"/>
      <c r="D958" s="2"/>
      <c r="E958" s="2"/>
    </row>
    <row r="959" spans="1:5">
      <c r="A959" s="18"/>
      <c r="B959" s="19"/>
      <c r="D959" s="2"/>
      <c r="E959" s="2"/>
    </row>
    <row r="960" spans="1:5">
      <c r="A960" s="18"/>
      <c r="B960" s="19"/>
      <c r="D960" s="2"/>
      <c r="E960" s="2"/>
    </row>
    <row r="961" spans="1:5">
      <c r="A961" s="18"/>
      <c r="B961" s="19"/>
      <c r="D961" s="2"/>
      <c r="E961" s="2"/>
    </row>
    <row r="962" spans="1:5">
      <c r="A962" s="18"/>
      <c r="B962" s="19"/>
      <c r="D962" s="2"/>
      <c r="E962" s="2"/>
    </row>
    <row r="963" spans="1:5">
      <c r="A963" s="18"/>
      <c r="B963" s="19"/>
      <c r="D963" s="2"/>
      <c r="E963" s="2"/>
    </row>
    <row r="964" spans="1:5">
      <c r="A964" s="18"/>
      <c r="B964" s="19"/>
      <c r="D964" s="2"/>
      <c r="E964" s="2"/>
    </row>
    <row r="965" spans="1:5">
      <c r="A965" s="18"/>
      <c r="B965" s="19"/>
      <c r="D965" s="2"/>
      <c r="E965" s="2"/>
    </row>
    <row r="966" spans="1:5">
      <c r="A966" s="18"/>
      <c r="B966" s="19"/>
      <c r="D966" s="2"/>
      <c r="E966" s="2"/>
    </row>
    <row r="967" spans="1:5">
      <c r="A967" s="18"/>
      <c r="B967" s="19"/>
      <c r="D967" s="2"/>
      <c r="E967" s="2"/>
    </row>
    <row r="968" spans="1:5">
      <c r="A968" s="18"/>
      <c r="B968" s="19"/>
      <c r="D968" s="2"/>
      <c r="E968" s="2"/>
    </row>
    <row r="969" spans="1:5">
      <c r="A969" s="18"/>
      <c r="B969" s="19"/>
      <c r="D969" s="2"/>
      <c r="E969" s="2"/>
    </row>
    <row r="970" spans="1:5">
      <c r="A970" s="18"/>
      <c r="B970" s="19"/>
      <c r="D970" s="2"/>
      <c r="E970" s="2"/>
    </row>
    <row r="971" spans="1:5">
      <c r="A971" s="18"/>
      <c r="B971" s="19"/>
      <c r="D971" s="2"/>
      <c r="E971" s="2"/>
    </row>
    <row r="972" spans="1:5">
      <c r="A972" s="18"/>
      <c r="B972" s="19"/>
      <c r="D972" s="2"/>
      <c r="E972" s="2"/>
    </row>
    <row r="973" spans="1:5">
      <c r="A973" s="18"/>
      <c r="B973" s="19"/>
      <c r="D973" s="2"/>
      <c r="E973" s="2"/>
    </row>
    <row r="974" spans="1:5">
      <c r="A974" s="18"/>
      <c r="B974" s="19"/>
      <c r="D974" s="2"/>
      <c r="E974" s="2"/>
    </row>
    <row r="975" spans="1:5">
      <c r="A975" s="18"/>
      <c r="B975" s="19"/>
      <c r="D975" s="2"/>
      <c r="E975" s="2"/>
    </row>
    <row r="976" spans="1:5">
      <c r="A976" s="18"/>
      <c r="B976" s="19"/>
      <c r="D976" s="2"/>
      <c r="E976" s="2"/>
    </row>
    <row r="977" spans="1:5">
      <c r="A977" s="18"/>
      <c r="B977" s="19"/>
      <c r="D977" s="2"/>
      <c r="E977" s="2"/>
    </row>
    <row r="978" spans="1:5">
      <c r="A978" s="18"/>
      <c r="B978" s="19"/>
      <c r="D978" s="2"/>
      <c r="E978" s="2"/>
    </row>
    <row r="979" spans="1:5">
      <c r="A979" s="18"/>
      <c r="B979" s="19"/>
      <c r="D979" s="2"/>
      <c r="E979" s="2"/>
    </row>
    <row r="980" spans="1:5">
      <c r="A980" s="18"/>
      <c r="B980" s="19"/>
      <c r="D980" s="2"/>
      <c r="E980" s="2"/>
    </row>
    <row r="981" spans="1:5">
      <c r="A981" s="18"/>
      <c r="B981" s="19"/>
      <c r="D981" s="2"/>
      <c r="E981" s="2"/>
    </row>
    <row r="982" spans="1:5">
      <c r="A982" s="18"/>
      <c r="B982" s="19"/>
      <c r="D982" s="2"/>
      <c r="E982" s="2"/>
    </row>
    <row r="983" spans="1:5">
      <c r="A983" s="18"/>
      <c r="B983" s="19"/>
      <c r="D983" s="2"/>
      <c r="E983" s="2"/>
    </row>
    <row r="984" spans="1:5">
      <c r="A984" s="18"/>
      <c r="B984" s="19"/>
      <c r="D984" s="2"/>
      <c r="E984" s="2"/>
    </row>
    <row r="985" spans="1:5">
      <c r="A985" s="18"/>
      <c r="B985" s="19"/>
      <c r="D985" s="2"/>
      <c r="E985" s="2"/>
    </row>
    <row r="986" spans="1:5">
      <c r="A986" s="18"/>
      <c r="B986" s="19"/>
      <c r="D986" s="2"/>
      <c r="E986" s="2"/>
    </row>
    <row r="987" spans="1:5">
      <c r="A987" s="18"/>
      <c r="B987" s="19"/>
      <c r="D987" s="2"/>
      <c r="E987" s="2"/>
    </row>
    <row r="988" spans="1:5">
      <c r="A988" s="18"/>
      <c r="B988" s="19"/>
      <c r="D988" s="2"/>
      <c r="E988" s="2"/>
    </row>
    <row r="989" spans="1:5">
      <c r="A989" s="18"/>
      <c r="B989" s="19"/>
      <c r="D989" s="2"/>
      <c r="E989" s="2"/>
    </row>
    <row r="990" spans="1:5">
      <c r="A990" s="18"/>
      <c r="B990" s="19"/>
      <c r="D990" s="2"/>
      <c r="E990" s="2"/>
    </row>
    <row r="991" spans="1:5">
      <c r="A991" s="18"/>
      <c r="B991" s="19"/>
      <c r="D991" s="2"/>
      <c r="E991" s="2"/>
    </row>
    <row r="992" spans="1:5">
      <c r="A992" s="18"/>
      <c r="B992" s="19"/>
      <c r="D992" s="2"/>
      <c r="E992" s="2"/>
    </row>
    <row r="993" spans="1:5">
      <c r="A993" s="18"/>
      <c r="B993" s="19"/>
      <c r="D993" s="2"/>
      <c r="E993" s="2"/>
    </row>
    <row r="994" spans="1:5">
      <c r="A994" s="18"/>
      <c r="B994" s="19"/>
      <c r="D994" s="2"/>
      <c r="E994" s="2"/>
    </row>
    <row r="995" spans="1:5">
      <c r="A995" s="18"/>
      <c r="B995" s="19"/>
      <c r="D995" s="2"/>
      <c r="E995" s="2"/>
    </row>
    <row r="996" spans="1:5">
      <c r="A996" s="18"/>
      <c r="B996" s="19"/>
      <c r="D996" s="2"/>
      <c r="E996" s="2"/>
    </row>
    <row r="997" spans="1:5">
      <c r="A997" s="18"/>
      <c r="B997" s="19"/>
      <c r="D997" s="2"/>
      <c r="E997" s="2"/>
    </row>
    <row r="998" spans="1:5">
      <c r="A998" s="18"/>
      <c r="B998" s="19"/>
      <c r="D998" s="2"/>
      <c r="E998" s="2"/>
    </row>
    <row r="999" spans="1:5">
      <c r="A999" s="18"/>
      <c r="B999" s="19"/>
      <c r="D999" s="2"/>
      <c r="E999" s="2"/>
    </row>
    <row r="1000" spans="1:5">
      <c r="A1000" s="18"/>
      <c r="B1000" s="19"/>
      <c r="D1000" s="2"/>
      <c r="E1000" s="2"/>
    </row>
    <row r="1001" spans="1:5">
      <c r="A1001" s="20"/>
      <c r="B1001" s="19"/>
      <c r="D1001" s="2"/>
      <c r="E1001" s="2"/>
    </row>
  </sheetData>
  <mergeCells count="10">
    <mergeCell ref="X20:Y22"/>
    <mergeCell ref="AA17:AB18"/>
    <mergeCell ref="AA9:AB9"/>
    <mergeCell ref="AA7:AE7"/>
    <mergeCell ref="D1:E1"/>
    <mergeCell ref="G13:H13"/>
    <mergeCell ref="M2:S2"/>
    <mergeCell ref="D9:E10"/>
    <mergeCell ref="N12:T14"/>
    <mergeCell ref="D6:E7"/>
  </mergeCells>
  <conditionalFormatting sqref="Y1:Y17 Y23:Y1048576">
    <cfRule type="top10" dxfId="0" priority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EF9F-4987-44B7-8974-E4DC3FCFA9BB}">
  <dimension ref="A1:M301"/>
  <sheetViews>
    <sheetView topLeftCell="D1" workbookViewId="0">
      <selection activeCell="K16" sqref="K16"/>
    </sheetView>
  </sheetViews>
  <sheetFormatPr defaultColWidth="9.109375" defaultRowHeight="14.4"/>
  <cols>
    <col min="1" max="1" width="48.88671875" style="58" customWidth="1"/>
    <col min="2" max="2" width="35" style="31" customWidth="1"/>
    <col min="3" max="3" width="42.109375" style="31" customWidth="1"/>
    <col min="4" max="4" width="13.109375" style="31" bestFit="1" customWidth="1"/>
    <col min="5" max="5" width="13.77734375" style="31" bestFit="1" customWidth="1"/>
    <col min="6" max="6" width="18.44140625" style="31" bestFit="1" customWidth="1"/>
    <col min="7" max="7" width="19.6640625" style="31" customWidth="1"/>
    <col min="8" max="8" width="9.109375" style="31" customWidth="1"/>
    <col min="9" max="9" width="38.5546875" style="31" customWidth="1"/>
    <col min="10" max="10" width="10" style="31" customWidth="1"/>
    <col min="11" max="11" width="31.33203125" style="31" customWidth="1"/>
    <col min="12" max="12" width="14.109375" style="31" customWidth="1"/>
    <col min="13" max="13" width="16.6640625" style="31" bestFit="1" customWidth="1"/>
    <col min="14" max="16384" width="9.109375" style="31"/>
  </cols>
  <sheetData>
    <row r="1" spans="1:13" s="82" customFormat="1" ht="31.2">
      <c r="A1" s="79" t="s">
        <v>386</v>
      </c>
      <c r="B1" s="80" t="s">
        <v>1</v>
      </c>
      <c r="C1" s="81" t="s">
        <v>403</v>
      </c>
      <c r="E1" s="179" t="s">
        <v>1</v>
      </c>
      <c r="F1" s="180" t="s">
        <v>395</v>
      </c>
      <c r="G1" s="180" t="s">
        <v>394</v>
      </c>
      <c r="I1" s="223" t="s">
        <v>413</v>
      </c>
      <c r="J1" s="223"/>
      <c r="K1" s="223"/>
      <c r="L1" s="223"/>
    </row>
    <row r="2" spans="1:13">
      <c r="A2" s="101" t="str">
        <f>INDEX(Posts!B2:B301, MATCH(MAX('Engagement Analysis'!B2:B301),'Engagement Analysis'!B2:B301, 0))</f>
        <v>Twitter</v>
      </c>
      <c r="B2" s="55" t="s">
        <v>14</v>
      </c>
      <c r="C2" s="56">
        <v>0.29149089921061594</v>
      </c>
      <c r="E2" s="31" t="s">
        <v>14</v>
      </c>
      <c r="F2" s="53">
        <v>6.4582089552238831</v>
      </c>
      <c r="G2" s="62">
        <v>1035942</v>
      </c>
      <c r="H2" s="62"/>
      <c r="I2" s="84" t="s">
        <v>23</v>
      </c>
      <c r="J2" s="59"/>
      <c r="K2" s="59" t="s">
        <v>14</v>
      </c>
      <c r="L2" s="55"/>
    </row>
    <row r="3" spans="1:13" ht="18">
      <c r="A3" s="23"/>
      <c r="B3" s="59" t="s">
        <v>23</v>
      </c>
      <c r="C3" s="61">
        <v>0.31489507387388765</v>
      </c>
      <c r="E3" s="59" t="s">
        <v>23</v>
      </c>
      <c r="F3" s="60">
        <v>6.8856716417910446</v>
      </c>
      <c r="G3" s="178">
        <v>1114204</v>
      </c>
      <c r="H3" s="83"/>
      <c r="I3" s="85" t="s">
        <v>412</v>
      </c>
      <c r="J3" s="56">
        <v>9.6034606364774039E-2</v>
      </c>
      <c r="K3" s="77" t="s">
        <v>412</v>
      </c>
      <c r="L3" s="56">
        <v>9.0794830422286865E-2</v>
      </c>
      <c r="M3" s="86"/>
    </row>
    <row r="4" spans="1:13" ht="25.5" customHeight="1">
      <c r="A4" s="42" t="s">
        <v>381</v>
      </c>
      <c r="B4" s="55" t="s">
        <v>28</v>
      </c>
      <c r="C4" s="56">
        <v>0.26067100999220127</v>
      </c>
      <c r="E4" s="31" t="s">
        <v>28</v>
      </c>
      <c r="F4" s="53">
        <v>6.7189393939393929</v>
      </c>
      <c r="G4" s="62">
        <v>1065782</v>
      </c>
      <c r="H4" s="62"/>
      <c r="I4" s="85" t="s">
        <v>409</v>
      </c>
      <c r="J4" s="55">
        <v>516611</v>
      </c>
      <c r="K4" s="77" t="s">
        <v>409</v>
      </c>
      <c r="L4" s="55">
        <v>301576</v>
      </c>
    </row>
    <row r="5" spans="1:13">
      <c r="A5" s="23"/>
      <c r="B5" s="55" t="s">
        <v>360</v>
      </c>
      <c r="C5" s="56">
        <v>0.86705698307670487</v>
      </c>
      <c r="E5" s="31" t="s">
        <v>360</v>
      </c>
      <c r="F5" s="53">
        <v>6.6874499999999975</v>
      </c>
      <c r="G5" s="62">
        <v>3215928</v>
      </c>
      <c r="H5" s="62"/>
      <c r="I5" s="85" t="s">
        <v>410</v>
      </c>
      <c r="J5" s="55">
        <f>SUMIF(Posts!B2:B301,"Twitter",Posts!J2:J301)</f>
        <v>6549147</v>
      </c>
      <c r="K5" s="77" t="s">
        <v>410</v>
      </c>
      <c r="L5" s="55">
        <f>SUMIF(Posts!B2:B301,"Instagram",Posts!J2:J301)</f>
        <v>4221099</v>
      </c>
    </row>
    <row r="6" spans="1:13" ht="15" thickBot="1">
      <c r="A6" s="159" t="s">
        <v>386</v>
      </c>
      <c r="I6" s="85" t="s">
        <v>411</v>
      </c>
      <c r="J6" s="55">
        <v>148</v>
      </c>
      <c r="K6" s="77" t="s">
        <v>411</v>
      </c>
      <c r="L6" s="87">
        <f>COUNTIFS(Posts!B2:B301,"Instagram",Posts!L2:L301,"*")</f>
        <v>89</v>
      </c>
    </row>
    <row r="7" spans="1:13" ht="15" thickBot="1">
      <c r="A7" s="23"/>
      <c r="I7" s="88"/>
      <c r="J7" s="55"/>
      <c r="K7" s="89" t="s">
        <v>414</v>
      </c>
      <c r="L7" s="66">
        <v>1035942</v>
      </c>
    </row>
    <row r="8" spans="1:13">
      <c r="A8" s="23"/>
      <c r="I8" s="65"/>
    </row>
    <row r="9" spans="1:13">
      <c r="A9" s="23"/>
      <c r="I9" s="205" t="s">
        <v>431</v>
      </c>
      <c r="J9" s="205"/>
      <c r="K9" s="205"/>
      <c r="L9" s="205"/>
    </row>
    <row r="10" spans="1:13">
      <c r="A10" s="23"/>
      <c r="I10" s="205"/>
      <c r="J10" s="205"/>
      <c r="K10" s="205"/>
      <c r="L10" s="205"/>
    </row>
    <row r="11" spans="1:13">
      <c r="A11" s="23"/>
      <c r="I11" s="205"/>
      <c r="J11" s="205"/>
      <c r="K11" s="205"/>
      <c r="L11" s="205"/>
    </row>
    <row r="12" spans="1:13">
      <c r="A12" s="23"/>
      <c r="I12" s="205"/>
      <c r="J12" s="205"/>
      <c r="K12" s="205"/>
      <c r="L12" s="205"/>
    </row>
    <row r="13" spans="1:13">
      <c r="A13" s="23"/>
      <c r="I13" s="205"/>
      <c r="J13" s="205"/>
      <c r="K13" s="205"/>
      <c r="L13" s="205"/>
    </row>
    <row r="14" spans="1:13">
      <c r="A14" s="23"/>
    </row>
    <row r="15" spans="1:13">
      <c r="A15" s="23"/>
    </row>
    <row r="16" spans="1:13">
      <c r="A16" s="23"/>
      <c r="I16" s="75"/>
      <c r="J16" s="75"/>
      <c r="K16" s="75"/>
      <c r="L16" s="75"/>
    </row>
    <row r="17" spans="1:12">
      <c r="A17" s="23"/>
      <c r="I17" s="75"/>
      <c r="J17" s="75"/>
      <c r="K17" s="75"/>
      <c r="L17" s="75"/>
    </row>
    <row r="18" spans="1:12">
      <c r="A18" s="23"/>
      <c r="I18" s="75"/>
      <c r="J18" s="75"/>
      <c r="K18" s="75"/>
      <c r="L18" s="75"/>
    </row>
    <row r="19" spans="1:12">
      <c r="A19" s="23"/>
      <c r="I19" s="75"/>
      <c r="J19" s="75"/>
      <c r="K19" s="75"/>
      <c r="L19" s="75"/>
    </row>
    <row r="20" spans="1:12">
      <c r="A20" s="23"/>
      <c r="I20" s="75"/>
      <c r="J20" s="75"/>
      <c r="K20" s="75"/>
      <c r="L20" s="75"/>
    </row>
    <row r="21" spans="1:12">
      <c r="A21" s="23"/>
    </row>
    <row r="22" spans="1:12">
      <c r="A22" s="23"/>
      <c r="B22" s="224"/>
      <c r="C22" s="224"/>
      <c r="D22" s="57"/>
    </row>
    <row r="23" spans="1:12" ht="18" customHeight="1">
      <c r="A23" s="23"/>
      <c r="B23" s="224"/>
      <c r="C23" s="224"/>
      <c r="D23" s="224"/>
    </row>
    <row r="24" spans="1:12">
      <c r="A24" s="23"/>
      <c r="B24" s="57"/>
      <c r="C24" s="57"/>
      <c r="D24" s="57"/>
      <c r="E24" s="205" t="s">
        <v>479</v>
      </c>
      <c r="F24" s="205"/>
      <c r="G24" s="205"/>
    </row>
    <row r="25" spans="1:12" ht="15" customHeight="1">
      <c r="A25" s="23"/>
      <c r="B25" s="205" t="s">
        <v>402</v>
      </c>
      <c r="C25" s="205"/>
      <c r="D25" s="57"/>
      <c r="E25" s="205"/>
      <c r="F25" s="205"/>
      <c r="G25" s="205"/>
    </row>
    <row r="26" spans="1:12" ht="15" customHeight="1">
      <c r="A26" s="23"/>
      <c r="B26" s="205" t="s">
        <v>401</v>
      </c>
      <c r="C26" s="205"/>
      <c r="D26" s="57"/>
      <c r="E26" s="205"/>
      <c r="F26" s="205"/>
      <c r="G26" s="205"/>
    </row>
    <row r="27" spans="1:12">
      <c r="A27" s="23"/>
    </row>
    <row r="28" spans="1:12">
      <c r="A28" s="23"/>
      <c r="B28" s="205" t="s">
        <v>462</v>
      </c>
      <c r="C28" s="205"/>
    </row>
    <row r="29" spans="1:12">
      <c r="A29" s="23"/>
      <c r="B29" s="205"/>
      <c r="C29" s="205"/>
    </row>
    <row r="30" spans="1:12">
      <c r="A30" s="23"/>
      <c r="B30" s="205"/>
      <c r="C30" s="205"/>
    </row>
    <row r="31" spans="1:12">
      <c r="A31" s="23"/>
    </row>
    <row r="32" spans="1:12">
      <c r="A32" s="23"/>
    </row>
    <row r="33" spans="1:1">
      <c r="A33" s="23"/>
    </row>
    <row r="34" spans="1:1">
      <c r="A34" s="23"/>
    </row>
    <row r="35" spans="1:1">
      <c r="A35" s="23"/>
    </row>
    <row r="36" spans="1:1">
      <c r="A36" s="23"/>
    </row>
    <row r="37" spans="1:1">
      <c r="A37" s="23"/>
    </row>
    <row r="38" spans="1:1">
      <c r="A38" s="23"/>
    </row>
    <row r="39" spans="1:1">
      <c r="A39" s="23"/>
    </row>
    <row r="40" spans="1:1">
      <c r="A40" s="23"/>
    </row>
    <row r="41" spans="1:1">
      <c r="A41" s="23"/>
    </row>
    <row r="42" spans="1:1">
      <c r="A42" s="23"/>
    </row>
    <row r="43" spans="1:1">
      <c r="A43" s="23"/>
    </row>
    <row r="44" spans="1:1">
      <c r="A44" s="23"/>
    </row>
    <row r="45" spans="1:1">
      <c r="A45" s="23"/>
    </row>
    <row r="46" spans="1:1">
      <c r="A46" s="23"/>
    </row>
    <row r="47" spans="1:1">
      <c r="A47" s="23"/>
    </row>
    <row r="48" spans="1:1">
      <c r="A48" s="23"/>
    </row>
    <row r="49" spans="1:1">
      <c r="A49" s="23"/>
    </row>
    <row r="50" spans="1:1">
      <c r="A50" s="23"/>
    </row>
    <row r="51" spans="1:1">
      <c r="A51" s="23"/>
    </row>
    <row r="52" spans="1:1">
      <c r="A52" s="23"/>
    </row>
    <row r="53" spans="1:1">
      <c r="A53" s="23"/>
    </row>
    <row r="54" spans="1:1">
      <c r="A54" s="23"/>
    </row>
    <row r="55" spans="1:1">
      <c r="A55" s="23"/>
    </row>
    <row r="56" spans="1:1">
      <c r="A56" s="23"/>
    </row>
    <row r="57" spans="1:1">
      <c r="A57" s="23"/>
    </row>
    <row r="58" spans="1:1">
      <c r="A58" s="23"/>
    </row>
    <row r="59" spans="1:1">
      <c r="A59" s="23"/>
    </row>
    <row r="60" spans="1:1">
      <c r="A60" s="23"/>
    </row>
    <row r="61" spans="1:1">
      <c r="A61" s="23"/>
    </row>
    <row r="62" spans="1:1">
      <c r="A62" s="23"/>
    </row>
    <row r="63" spans="1:1">
      <c r="A63" s="23"/>
    </row>
    <row r="64" spans="1:1">
      <c r="A64" s="23"/>
    </row>
    <row r="65" spans="1:1">
      <c r="A65" s="23"/>
    </row>
    <row r="66" spans="1:1">
      <c r="A66" s="23"/>
    </row>
    <row r="67" spans="1:1">
      <c r="A67" s="23"/>
    </row>
    <row r="68" spans="1:1">
      <c r="A68" s="23"/>
    </row>
    <row r="69" spans="1:1">
      <c r="A69" s="23"/>
    </row>
    <row r="70" spans="1:1">
      <c r="A70" s="23"/>
    </row>
    <row r="71" spans="1:1">
      <c r="A71" s="23"/>
    </row>
    <row r="72" spans="1:1">
      <c r="A72" s="23"/>
    </row>
    <row r="73" spans="1:1">
      <c r="A73" s="23"/>
    </row>
    <row r="74" spans="1:1">
      <c r="A74" s="23"/>
    </row>
    <row r="75" spans="1:1">
      <c r="A75" s="23"/>
    </row>
    <row r="76" spans="1:1">
      <c r="A76" s="23"/>
    </row>
    <row r="77" spans="1:1">
      <c r="A77" s="23"/>
    </row>
    <row r="78" spans="1:1">
      <c r="A78" s="23"/>
    </row>
    <row r="79" spans="1:1">
      <c r="A79" s="23"/>
    </row>
    <row r="80" spans="1:1">
      <c r="A80" s="23"/>
    </row>
    <row r="81" spans="1:1">
      <c r="A81" s="23"/>
    </row>
    <row r="82" spans="1:1">
      <c r="A82" s="23"/>
    </row>
    <row r="83" spans="1:1">
      <c r="A83" s="23"/>
    </row>
    <row r="84" spans="1:1">
      <c r="A84" s="23"/>
    </row>
    <row r="85" spans="1:1">
      <c r="A85" s="23"/>
    </row>
    <row r="86" spans="1:1">
      <c r="A86" s="23"/>
    </row>
    <row r="87" spans="1:1">
      <c r="A87" s="23"/>
    </row>
    <row r="88" spans="1:1">
      <c r="A88" s="23"/>
    </row>
    <row r="89" spans="1:1">
      <c r="A89" s="23"/>
    </row>
    <row r="90" spans="1:1">
      <c r="A90" s="23"/>
    </row>
    <row r="91" spans="1:1">
      <c r="A91" s="23"/>
    </row>
    <row r="92" spans="1:1">
      <c r="A92" s="23"/>
    </row>
    <row r="93" spans="1:1">
      <c r="A93" s="23"/>
    </row>
    <row r="94" spans="1:1">
      <c r="A94" s="23"/>
    </row>
    <row r="95" spans="1:1">
      <c r="A95" s="23"/>
    </row>
    <row r="96" spans="1:1">
      <c r="A96" s="23"/>
    </row>
    <row r="97" spans="1:1">
      <c r="A97" s="23"/>
    </row>
    <row r="98" spans="1:1">
      <c r="A98" s="23"/>
    </row>
    <row r="99" spans="1:1">
      <c r="A99" s="23"/>
    </row>
    <row r="100" spans="1:1">
      <c r="A100" s="23"/>
    </row>
    <row r="101" spans="1:1">
      <c r="A101" s="23"/>
    </row>
    <row r="102" spans="1:1">
      <c r="A102" s="23"/>
    </row>
    <row r="103" spans="1:1">
      <c r="A103" s="23"/>
    </row>
    <row r="104" spans="1:1">
      <c r="A104" s="23"/>
    </row>
    <row r="105" spans="1:1">
      <c r="A105" s="23"/>
    </row>
    <row r="106" spans="1:1">
      <c r="A106" s="23"/>
    </row>
    <row r="107" spans="1:1">
      <c r="A107" s="23"/>
    </row>
    <row r="108" spans="1:1">
      <c r="A108" s="23"/>
    </row>
    <row r="109" spans="1:1">
      <c r="A109" s="23"/>
    </row>
    <row r="110" spans="1:1">
      <c r="A110" s="23"/>
    </row>
    <row r="111" spans="1:1">
      <c r="A111" s="23"/>
    </row>
    <row r="112" spans="1:1">
      <c r="A112" s="23"/>
    </row>
    <row r="113" spans="1:1">
      <c r="A113" s="23"/>
    </row>
    <row r="114" spans="1:1">
      <c r="A114" s="23"/>
    </row>
    <row r="115" spans="1:1">
      <c r="A115" s="23"/>
    </row>
    <row r="116" spans="1:1">
      <c r="A116" s="23"/>
    </row>
    <row r="117" spans="1:1">
      <c r="A117" s="23"/>
    </row>
    <row r="118" spans="1:1">
      <c r="A118" s="23"/>
    </row>
    <row r="119" spans="1:1">
      <c r="A119" s="23"/>
    </row>
    <row r="120" spans="1:1">
      <c r="A120" s="23"/>
    </row>
    <row r="121" spans="1:1">
      <c r="A121" s="23"/>
    </row>
    <row r="122" spans="1:1">
      <c r="A122" s="23"/>
    </row>
    <row r="123" spans="1:1">
      <c r="A123" s="23"/>
    </row>
    <row r="124" spans="1:1">
      <c r="A124" s="23"/>
    </row>
    <row r="125" spans="1:1">
      <c r="A125" s="23"/>
    </row>
    <row r="126" spans="1:1">
      <c r="A126" s="23"/>
    </row>
    <row r="127" spans="1:1">
      <c r="A127" s="23"/>
    </row>
    <row r="128" spans="1:1">
      <c r="A128" s="23"/>
    </row>
    <row r="129" spans="1:1">
      <c r="A129" s="23"/>
    </row>
    <row r="130" spans="1:1">
      <c r="A130" s="23"/>
    </row>
    <row r="131" spans="1:1">
      <c r="A131" s="23"/>
    </row>
    <row r="132" spans="1:1">
      <c r="A132" s="23"/>
    </row>
    <row r="133" spans="1:1">
      <c r="A133" s="23"/>
    </row>
    <row r="134" spans="1:1">
      <c r="A134" s="23"/>
    </row>
    <row r="135" spans="1:1">
      <c r="A135" s="23"/>
    </row>
    <row r="136" spans="1:1">
      <c r="A136" s="23"/>
    </row>
    <row r="137" spans="1:1">
      <c r="A137" s="23"/>
    </row>
    <row r="138" spans="1:1">
      <c r="A138" s="23"/>
    </row>
    <row r="139" spans="1:1">
      <c r="A139" s="23"/>
    </row>
    <row r="140" spans="1:1">
      <c r="A140" s="23"/>
    </row>
    <row r="141" spans="1:1">
      <c r="A141" s="23"/>
    </row>
    <row r="142" spans="1:1">
      <c r="A142" s="23"/>
    </row>
    <row r="143" spans="1:1">
      <c r="A143" s="23"/>
    </row>
    <row r="144" spans="1:1">
      <c r="A144" s="23"/>
    </row>
    <row r="145" spans="1:1">
      <c r="A145" s="23"/>
    </row>
    <row r="146" spans="1:1">
      <c r="A146" s="23"/>
    </row>
    <row r="147" spans="1:1">
      <c r="A147" s="23"/>
    </row>
    <row r="148" spans="1:1">
      <c r="A148" s="23"/>
    </row>
    <row r="149" spans="1:1">
      <c r="A149" s="23"/>
    </row>
    <row r="150" spans="1:1">
      <c r="A150" s="23"/>
    </row>
    <row r="151" spans="1:1">
      <c r="A151" s="23"/>
    </row>
    <row r="152" spans="1:1">
      <c r="A152" s="23"/>
    </row>
    <row r="153" spans="1:1">
      <c r="A153" s="23"/>
    </row>
    <row r="154" spans="1:1">
      <c r="A154" s="23"/>
    </row>
    <row r="155" spans="1:1">
      <c r="A155" s="23"/>
    </row>
    <row r="156" spans="1:1">
      <c r="A156" s="23"/>
    </row>
    <row r="157" spans="1:1">
      <c r="A157" s="23"/>
    </row>
    <row r="158" spans="1:1">
      <c r="A158" s="23"/>
    </row>
    <row r="159" spans="1:1">
      <c r="A159" s="23"/>
    </row>
    <row r="160" spans="1:1">
      <c r="A160" s="23"/>
    </row>
    <row r="161" spans="1:1">
      <c r="A161" s="23"/>
    </row>
    <row r="162" spans="1:1">
      <c r="A162" s="23"/>
    </row>
    <row r="163" spans="1:1">
      <c r="A163" s="23"/>
    </row>
    <row r="164" spans="1:1">
      <c r="A164" s="23"/>
    </row>
    <row r="165" spans="1:1">
      <c r="A165" s="23"/>
    </row>
    <row r="166" spans="1:1">
      <c r="A166" s="23"/>
    </row>
    <row r="167" spans="1:1">
      <c r="A167" s="23"/>
    </row>
    <row r="168" spans="1:1">
      <c r="A168" s="23"/>
    </row>
    <row r="169" spans="1:1">
      <c r="A169" s="23"/>
    </row>
    <row r="170" spans="1:1">
      <c r="A170" s="23"/>
    </row>
    <row r="171" spans="1:1">
      <c r="A171" s="23"/>
    </row>
    <row r="172" spans="1:1">
      <c r="A172" s="23"/>
    </row>
    <row r="173" spans="1:1">
      <c r="A173" s="23"/>
    </row>
    <row r="174" spans="1:1">
      <c r="A174" s="23"/>
    </row>
    <row r="175" spans="1:1">
      <c r="A175" s="23"/>
    </row>
    <row r="176" spans="1:1">
      <c r="A176" s="23"/>
    </row>
    <row r="177" spans="1:1">
      <c r="A177" s="23"/>
    </row>
    <row r="178" spans="1:1">
      <c r="A178" s="23"/>
    </row>
    <row r="179" spans="1:1">
      <c r="A179" s="23"/>
    </row>
    <row r="180" spans="1:1">
      <c r="A180" s="23"/>
    </row>
    <row r="181" spans="1:1">
      <c r="A181" s="23"/>
    </row>
    <row r="182" spans="1:1">
      <c r="A182" s="23"/>
    </row>
    <row r="183" spans="1:1">
      <c r="A183" s="23"/>
    </row>
    <row r="184" spans="1:1">
      <c r="A184" s="23"/>
    </row>
    <row r="185" spans="1:1">
      <c r="A185" s="23"/>
    </row>
    <row r="186" spans="1:1">
      <c r="A186" s="23"/>
    </row>
    <row r="187" spans="1:1">
      <c r="A187" s="23"/>
    </row>
    <row r="188" spans="1:1">
      <c r="A188" s="23"/>
    </row>
    <row r="189" spans="1:1">
      <c r="A189" s="23"/>
    </row>
    <row r="190" spans="1:1">
      <c r="A190" s="23"/>
    </row>
    <row r="191" spans="1:1">
      <c r="A191" s="23"/>
    </row>
    <row r="192" spans="1:1">
      <c r="A192" s="23"/>
    </row>
    <row r="193" spans="1:1">
      <c r="A193" s="23"/>
    </row>
    <row r="194" spans="1:1">
      <c r="A194" s="23"/>
    </row>
    <row r="195" spans="1:1">
      <c r="A195" s="23"/>
    </row>
    <row r="196" spans="1:1">
      <c r="A196" s="23"/>
    </row>
    <row r="197" spans="1:1">
      <c r="A197" s="23"/>
    </row>
    <row r="198" spans="1:1">
      <c r="A198" s="23"/>
    </row>
    <row r="199" spans="1:1">
      <c r="A199" s="23"/>
    </row>
    <row r="200" spans="1:1">
      <c r="A200" s="23"/>
    </row>
    <row r="201" spans="1:1">
      <c r="A201" s="23"/>
    </row>
    <row r="202" spans="1:1">
      <c r="A202" s="23"/>
    </row>
    <row r="203" spans="1:1">
      <c r="A203" s="23"/>
    </row>
    <row r="204" spans="1:1">
      <c r="A204" s="23"/>
    </row>
    <row r="205" spans="1:1">
      <c r="A205" s="23"/>
    </row>
    <row r="206" spans="1:1">
      <c r="A206" s="23"/>
    </row>
    <row r="207" spans="1:1">
      <c r="A207" s="23"/>
    </row>
    <row r="208" spans="1:1">
      <c r="A208" s="23"/>
    </row>
    <row r="209" spans="1:1">
      <c r="A209" s="23"/>
    </row>
    <row r="210" spans="1:1">
      <c r="A210" s="23"/>
    </row>
    <row r="211" spans="1:1">
      <c r="A211" s="23"/>
    </row>
    <row r="212" spans="1:1">
      <c r="A212" s="23"/>
    </row>
    <row r="213" spans="1:1">
      <c r="A213" s="23"/>
    </row>
    <row r="214" spans="1:1">
      <c r="A214" s="23"/>
    </row>
    <row r="215" spans="1:1">
      <c r="A215" s="23"/>
    </row>
    <row r="216" spans="1:1">
      <c r="A216" s="23"/>
    </row>
    <row r="217" spans="1:1">
      <c r="A217" s="23"/>
    </row>
    <row r="218" spans="1:1">
      <c r="A218" s="23"/>
    </row>
    <row r="219" spans="1:1">
      <c r="A219" s="23"/>
    </row>
    <row r="220" spans="1:1">
      <c r="A220" s="23"/>
    </row>
    <row r="221" spans="1:1">
      <c r="A221" s="23"/>
    </row>
    <row r="222" spans="1:1">
      <c r="A222" s="23"/>
    </row>
    <row r="223" spans="1:1">
      <c r="A223" s="23"/>
    </row>
    <row r="224" spans="1:1">
      <c r="A224" s="23"/>
    </row>
    <row r="225" spans="1:1">
      <c r="A225" s="23"/>
    </row>
    <row r="226" spans="1:1">
      <c r="A226" s="23"/>
    </row>
    <row r="227" spans="1:1">
      <c r="A227" s="23"/>
    </row>
    <row r="228" spans="1:1">
      <c r="A228" s="23"/>
    </row>
    <row r="229" spans="1:1">
      <c r="A229" s="23"/>
    </row>
    <row r="230" spans="1:1">
      <c r="A230" s="23"/>
    </row>
    <row r="231" spans="1:1">
      <c r="A231" s="23"/>
    </row>
    <row r="232" spans="1:1">
      <c r="A232" s="23"/>
    </row>
    <row r="233" spans="1:1">
      <c r="A233" s="23"/>
    </row>
    <row r="234" spans="1:1">
      <c r="A234" s="23"/>
    </row>
    <row r="235" spans="1:1">
      <c r="A235" s="23"/>
    </row>
    <row r="236" spans="1:1">
      <c r="A236" s="23"/>
    </row>
    <row r="237" spans="1:1">
      <c r="A237" s="23"/>
    </row>
    <row r="238" spans="1:1">
      <c r="A238" s="23"/>
    </row>
    <row r="239" spans="1:1">
      <c r="A239" s="23"/>
    </row>
    <row r="240" spans="1:1">
      <c r="A240" s="23"/>
    </row>
    <row r="241" spans="1:1">
      <c r="A241" s="23"/>
    </row>
    <row r="242" spans="1:1">
      <c r="A242" s="23"/>
    </row>
    <row r="243" spans="1:1">
      <c r="A243" s="23"/>
    </row>
    <row r="244" spans="1:1">
      <c r="A244" s="23"/>
    </row>
    <row r="245" spans="1:1">
      <c r="A245" s="23"/>
    </row>
    <row r="246" spans="1:1">
      <c r="A246" s="23"/>
    </row>
    <row r="247" spans="1:1">
      <c r="A247" s="23"/>
    </row>
    <row r="248" spans="1:1">
      <c r="A248" s="23"/>
    </row>
    <row r="249" spans="1:1">
      <c r="A249" s="23"/>
    </row>
    <row r="250" spans="1:1">
      <c r="A250" s="23"/>
    </row>
    <row r="251" spans="1:1">
      <c r="A251" s="23"/>
    </row>
    <row r="252" spans="1:1">
      <c r="A252" s="23"/>
    </row>
    <row r="253" spans="1:1">
      <c r="A253" s="23"/>
    </row>
    <row r="254" spans="1:1">
      <c r="A254" s="23"/>
    </row>
    <row r="255" spans="1:1">
      <c r="A255" s="23"/>
    </row>
    <row r="256" spans="1:1">
      <c r="A256" s="23"/>
    </row>
    <row r="257" spans="1:1">
      <c r="A257" s="23"/>
    </row>
    <row r="258" spans="1:1">
      <c r="A258" s="23"/>
    </row>
    <row r="259" spans="1:1">
      <c r="A259" s="23"/>
    </row>
    <row r="260" spans="1:1">
      <c r="A260" s="23"/>
    </row>
    <row r="261" spans="1:1">
      <c r="A261" s="23"/>
    </row>
    <row r="262" spans="1:1">
      <c r="A262" s="23"/>
    </row>
    <row r="263" spans="1:1">
      <c r="A263" s="23"/>
    </row>
    <row r="264" spans="1:1">
      <c r="A264" s="23"/>
    </row>
    <row r="265" spans="1:1">
      <c r="A265" s="23"/>
    </row>
    <row r="266" spans="1:1">
      <c r="A266" s="23"/>
    </row>
    <row r="267" spans="1:1">
      <c r="A267" s="23"/>
    </row>
    <row r="268" spans="1:1">
      <c r="A268" s="23"/>
    </row>
    <row r="269" spans="1:1">
      <c r="A269" s="23"/>
    </row>
    <row r="270" spans="1:1">
      <c r="A270" s="23"/>
    </row>
    <row r="271" spans="1:1">
      <c r="A271" s="23"/>
    </row>
    <row r="272" spans="1:1">
      <c r="A272" s="23"/>
    </row>
    <row r="273" spans="1:1">
      <c r="A273" s="23"/>
    </row>
    <row r="274" spans="1:1">
      <c r="A274" s="23"/>
    </row>
    <row r="275" spans="1:1">
      <c r="A275" s="23"/>
    </row>
    <row r="276" spans="1:1">
      <c r="A276" s="23"/>
    </row>
    <row r="277" spans="1:1">
      <c r="A277" s="23"/>
    </row>
    <row r="278" spans="1:1">
      <c r="A278" s="23"/>
    </row>
    <row r="279" spans="1:1">
      <c r="A279" s="23"/>
    </row>
    <row r="280" spans="1:1">
      <c r="A280" s="23"/>
    </row>
    <row r="281" spans="1:1">
      <c r="A281" s="23"/>
    </row>
    <row r="282" spans="1:1">
      <c r="A282" s="23"/>
    </row>
    <row r="283" spans="1:1">
      <c r="A283" s="23"/>
    </row>
    <row r="284" spans="1:1">
      <c r="A284" s="23"/>
    </row>
    <row r="285" spans="1:1">
      <c r="A285" s="23"/>
    </row>
    <row r="286" spans="1:1">
      <c r="A286" s="23"/>
    </row>
    <row r="287" spans="1:1">
      <c r="A287" s="23"/>
    </row>
    <row r="288" spans="1:1">
      <c r="A288" s="23"/>
    </row>
    <row r="289" spans="1:1">
      <c r="A289" s="23"/>
    </row>
    <row r="290" spans="1:1">
      <c r="A290" s="23"/>
    </row>
    <row r="291" spans="1:1">
      <c r="A291" s="23"/>
    </row>
    <row r="292" spans="1:1">
      <c r="A292" s="23"/>
    </row>
    <row r="293" spans="1:1">
      <c r="A293" s="23"/>
    </row>
    <row r="294" spans="1:1">
      <c r="A294" s="23"/>
    </row>
    <row r="295" spans="1:1">
      <c r="A295" s="23"/>
    </row>
    <row r="296" spans="1:1">
      <c r="A296" s="23"/>
    </row>
    <row r="297" spans="1:1">
      <c r="A297" s="23"/>
    </row>
    <row r="298" spans="1:1">
      <c r="A298" s="23"/>
    </row>
    <row r="299" spans="1:1">
      <c r="A299" s="23"/>
    </row>
    <row r="300" spans="1:1">
      <c r="A300" s="23"/>
    </row>
    <row r="301" spans="1:1">
      <c r="A301" s="23"/>
    </row>
  </sheetData>
  <mergeCells count="8">
    <mergeCell ref="I1:L1"/>
    <mergeCell ref="B25:C25"/>
    <mergeCell ref="B26:C26"/>
    <mergeCell ref="B28:C30"/>
    <mergeCell ref="E24:G26"/>
    <mergeCell ref="I9:L13"/>
    <mergeCell ref="B22:C22"/>
    <mergeCell ref="B23:D23"/>
  </mergeCell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0F91-0435-49A3-900D-E459889701FF}">
  <dimension ref="A1:O301"/>
  <sheetViews>
    <sheetView topLeftCell="G1" workbookViewId="0">
      <selection activeCell="N18" sqref="N18"/>
    </sheetView>
  </sheetViews>
  <sheetFormatPr defaultRowHeight="14.4"/>
  <cols>
    <col min="1" max="1" width="24.88671875" style="30" bestFit="1" customWidth="1"/>
    <col min="2" max="2" width="8.88671875" style="31"/>
    <col min="3" max="3" width="34" style="31" bestFit="1" customWidth="1"/>
    <col min="4" max="4" width="21.6640625" style="31" bestFit="1" customWidth="1"/>
    <col min="5" max="5" width="26" style="31" bestFit="1" customWidth="1"/>
    <col min="6" max="6" width="8.88671875" style="31"/>
    <col min="7" max="7" width="29.88671875" style="30" customWidth="1"/>
    <col min="8" max="8" width="29.6640625" style="31" customWidth="1"/>
    <col min="9" max="9" width="23.5546875" style="31" customWidth="1"/>
    <col min="10" max="10" width="11.5546875" style="31" customWidth="1"/>
    <col min="11" max="11" width="9.109375" style="31" bestFit="1" customWidth="1"/>
    <col min="12" max="12" width="11.33203125" style="31" bestFit="1" customWidth="1"/>
    <col min="13" max="13" width="7.21875" style="31" customWidth="1"/>
    <col min="14" max="14" width="27.6640625" style="31" customWidth="1"/>
    <col min="15" max="15" width="27" style="31" customWidth="1"/>
    <col min="16" max="243" width="10.44140625" style="31" bestFit="1" customWidth="1"/>
    <col min="244" max="244" width="7.33203125" style="31" bestFit="1" customWidth="1"/>
    <col min="245" max="245" width="11.33203125" style="31" bestFit="1" customWidth="1"/>
    <col min="246" max="16384" width="8.88671875" style="31"/>
  </cols>
  <sheetData>
    <row r="1" spans="1:15">
      <c r="A1" s="52" t="s">
        <v>404</v>
      </c>
      <c r="C1" s="226"/>
      <c r="D1" s="227"/>
      <c r="E1" s="227"/>
      <c r="G1" s="195" t="s">
        <v>495</v>
      </c>
      <c r="N1" s="229"/>
      <c r="O1" s="229"/>
    </row>
    <row r="2" spans="1:15">
      <c r="A2" s="30">
        <f>(Posts!F2+Posts!G2+Posts!H2)/Posts!I2</f>
        <v>0.13200509890939993</v>
      </c>
      <c r="C2" s="76" t="s">
        <v>399</v>
      </c>
      <c r="D2" s="31" t="s">
        <v>405</v>
      </c>
      <c r="E2" s="31" t="s">
        <v>406</v>
      </c>
      <c r="G2" s="30">
        <f>Posts!I2/'Engagement Summary'!E3</f>
        <v>9.2916238956298969E-2</v>
      </c>
      <c r="N2" s="229"/>
      <c r="O2" s="229"/>
    </row>
    <row r="3" spans="1:15">
      <c r="A3" s="30">
        <f>(Posts!F3+Posts!G3+Posts!H3)/Posts!I3</f>
        <v>8.7095334546328396E-2</v>
      </c>
      <c r="C3" s="31" t="s">
        <v>20</v>
      </c>
      <c r="D3" s="31">
        <v>33</v>
      </c>
      <c r="E3" s="30">
        <v>9.0257921312820288E-2</v>
      </c>
      <c r="G3" s="30">
        <f>Posts!I3/'Engagement Summary'!E4</f>
        <v>7.8675568952198835E-2</v>
      </c>
      <c r="H3" s="54" t="s">
        <v>408</v>
      </c>
      <c r="I3" s="54" t="s">
        <v>407</v>
      </c>
      <c r="J3" s="55"/>
      <c r="K3" s="55"/>
      <c r="L3" s="55"/>
      <c r="N3" s="59" t="s">
        <v>415</v>
      </c>
      <c r="O3" s="59">
        <f>COUNTIFS(Posts!B2:B301,"Instagram",Posts!D2:D301,"Text")</f>
        <v>66</v>
      </c>
    </row>
    <row r="4" spans="1:15">
      <c r="A4" s="30">
        <f>(Posts!F4+Posts!G4+Posts!H4)/Posts!I4</f>
        <v>7.0477352576105018E-2</v>
      </c>
      <c r="C4" s="31" t="s">
        <v>373</v>
      </c>
      <c r="D4" s="31">
        <v>34</v>
      </c>
      <c r="E4" s="30">
        <v>8.4104102259874289E-2</v>
      </c>
      <c r="G4" s="30">
        <f>Posts!I4/'Engagement Summary'!E5</f>
        <v>0.51401475009191777</v>
      </c>
      <c r="H4" s="54" t="s">
        <v>417</v>
      </c>
      <c r="I4" s="55" t="s">
        <v>14</v>
      </c>
      <c r="J4" s="55" t="s">
        <v>23</v>
      </c>
      <c r="K4" s="55" t="s">
        <v>28</v>
      </c>
      <c r="L4" s="55" t="s">
        <v>360</v>
      </c>
      <c r="N4" s="59" t="s">
        <v>429</v>
      </c>
      <c r="O4" s="59">
        <f>COUNTIFS(Posts!B2:B301,"Twitter",Posts!D2:D301,"Story")</f>
        <v>87</v>
      </c>
    </row>
    <row r="5" spans="1:15">
      <c r="A5" s="30">
        <f>(Posts!F5+Posts!G5+Posts!H5)/Posts!I5</f>
        <v>0.1215714092690177</v>
      </c>
      <c r="C5" s="31" t="s">
        <v>374</v>
      </c>
      <c r="D5" s="31">
        <v>29</v>
      </c>
      <c r="E5" s="30">
        <v>9.010688153503349E-2</v>
      </c>
      <c r="G5" s="30">
        <f>Posts!I5/'Engagement Summary'!E6</f>
        <v>9.0008573982523668E-2</v>
      </c>
      <c r="H5" s="55" t="s">
        <v>49</v>
      </c>
      <c r="I5" s="78"/>
      <c r="J5" s="78"/>
      <c r="K5" s="78">
        <v>29</v>
      </c>
      <c r="L5" s="78">
        <v>29</v>
      </c>
      <c r="N5" s="59" t="s">
        <v>430</v>
      </c>
      <c r="O5" s="59">
        <f>COUNTIFS(Posts!B2:B301,"*YouTube*",Posts!D2:D301,"*Reel*")</f>
        <v>29</v>
      </c>
    </row>
    <row r="6" spans="1:15">
      <c r="A6" s="30">
        <f>(Posts!F6+Posts!G6+Posts!H6)/Posts!I6</f>
        <v>0.1314700217204213</v>
      </c>
      <c r="C6" s="31" t="s">
        <v>372</v>
      </c>
      <c r="D6" s="31">
        <v>34</v>
      </c>
      <c r="E6" s="30">
        <v>8.640329129367573E-2</v>
      </c>
      <c r="G6" s="30">
        <f>Posts!I6/'Engagement Summary'!E7</f>
        <v>6.2307690343469835E-2</v>
      </c>
      <c r="H6" s="55" t="s">
        <v>24</v>
      </c>
      <c r="I6" s="78">
        <v>23</v>
      </c>
      <c r="J6" s="78">
        <v>87</v>
      </c>
      <c r="K6" s="78"/>
      <c r="L6" s="78">
        <v>110</v>
      </c>
    </row>
    <row r="7" spans="1:15">
      <c r="A7" s="30">
        <f>(Posts!F7+Posts!G7+Posts!H7)/Posts!I7</f>
        <v>7.4828079253761837E-2</v>
      </c>
      <c r="C7" s="31" t="s">
        <v>371</v>
      </c>
      <c r="D7" s="31">
        <v>33</v>
      </c>
      <c r="E7" s="30">
        <v>9.4160897902485829E-2</v>
      </c>
      <c r="G7" s="30">
        <f>Posts!I7/'Engagement Summary'!E8</f>
        <v>0.61269228763623085</v>
      </c>
      <c r="H7" s="55" t="s">
        <v>15</v>
      </c>
      <c r="I7" s="78">
        <v>66</v>
      </c>
      <c r="J7" s="78">
        <v>61</v>
      </c>
      <c r="K7" s="78">
        <v>34</v>
      </c>
      <c r="L7" s="78">
        <v>161</v>
      </c>
      <c r="N7" s="225" t="s">
        <v>463</v>
      </c>
      <c r="O7" s="225"/>
    </row>
    <row r="8" spans="1:15">
      <c r="A8" s="30">
        <f>(Posts!F8+Posts!G8+Posts!H8)/Posts!I8</f>
        <v>0.26064752360763155</v>
      </c>
      <c r="C8" s="31" t="s">
        <v>35</v>
      </c>
      <c r="D8" s="31">
        <v>57</v>
      </c>
      <c r="E8" s="30">
        <v>9.9415713745613254E-2</v>
      </c>
      <c r="G8" s="30">
        <f>Posts!I8/'Engagement Summary'!E9</f>
        <v>8.4392165791816937E-2</v>
      </c>
      <c r="H8" s="55" t="s">
        <v>360</v>
      </c>
      <c r="I8" s="78">
        <v>89</v>
      </c>
      <c r="J8" s="78">
        <v>148</v>
      </c>
      <c r="K8" s="78">
        <v>63</v>
      </c>
      <c r="L8" s="78">
        <v>300</v>
      </c>
      <c r="N8" s="225"/>
      <c r="O8" s="225"/>
    </row>
    <row r="9" spans="1:15">
      <c r="A9" s="30">
        <f>(Posts!F9+Posts!G9+Posts!H9)/Posts!I9</f>
        <v>8.7100435029317191E-2</v>
      </c>
      <c r="C9" s="31" t="s">
        <v>38</v>
      </c>
      <c r="D9" s="31">
        <v>27</v>
      </c>
      <c r="E9" s="30">
        <v>8.7432152698750445E-2</v>
      </c>
      <c r="G9" s="30">
        <f>Posts!I9/'Engagement Summary'!E10</f>
        <v>8.4447426006676568E-2</v>
      </c>
    </row>
    <row r="10" spans="1:15" ht="15.6">
      <c r="A10" s="30">
        <f>(Posts!F10+Posts!G10+Posts!H10)/Posts!I10</f>
        <v>8.3943337400027115E-2</v>
      </c>
      <c r="C10" s="31" t="s">
        <v>370</v>
      </c>
      <c r="D10" s="31">
        <v>53</v>
      </c>
      <c r="E10" s="30">
        <v>0.10039881758986871</v>
      </c>
      <c r="G10" s="30">
        <f>Posts!I10/'Engagement Summary'!E11</f>
        <v>0.67689766705663756</v>
      </c>
      <c r="H10" s="228" t="s">
        <v>428</v>
      </c>
      <c r="I10" s="228"/>
      <c r="J10" s="228"/>
      <c r="K10" s="228"/>
      <c r="L10" s="228"/>
      <c r="N10" s="225" t="s">
        <v>466</v>
      </c>
      <c r="O10" s="225"/>
    </row>
    <row r="11" spans="1:15">
      <c r="A11" s="30">
        <f>(Posts!F11+Posts!G11+Posts!H11)/Posts!I11</f>
        <v>0.12997310581470833</v>
      </c>
      <c r="C11" s="31" t="s">
        <v>360</v>
      </c>
      <c r="D11" s="31">
        <v>300</v>
      </c>
      <c r="E11" s="30">
        <v>9.2815577060236715E-2</v>
      </c>
      <c r="G11" s="30">
        <f>Posts!I11/'Engagement Summary'!E12</f>
        <v>0.16767221271963925</v>
      </c>
      <c r="N11" s="225"/>
      <c r="O11" s="225"/>
    </row>
    <row r="12" spans="1:15">
      <c r="A12" s="30">
        <f>(Posts!F12+Posts!G12+Posts!H12)/Posts!I12</f>
        <v>8.4525482181632389E-2</v>
      </c>
      <c r="E12" s="30"/>
      <c r="G12" s="30">
        <f>Posts!I12/'Engagement Summary'!E13</f>
        <v>0.24851009800420584</v>
      </c>
      <c r="H12" s="224" t="s">
        <v>467</v>
      </c>
      <c r="I12" s="224"/>
      <c r="J12" s="224"/>
      <c r="K12" s="224"/>
      <c r="L12" s="224"/>
    </row>
    <row r="13" spans="1:15">
      <c r="A13" s="30">
        <f>(Posts!F13+Posts!G13+Posts!H13)/Posts!I13</f>
        <v>5.4191936281527367E-2</v>
      </c>
      <c r="C13" s="225" t="s">
        <v>416</v>
      </c>
      <c r="D13" s="225"/>
      <c r="E13" s="225"/>
      <c r="G13" s="30">
        <f>Posts!I13/'Engagement Summary'!E14</f>
        <v>0.21509391708423145</v>
      </c>
    </row>
    <row r="14" spans="1:15">
      <c r="A14" s="30">
        <f>(Posts!F14+Posts!G14+Posts!H14)/Posts!I14</f>
        <v>7.4550393727863554E-2</v>
      </c>
      <c r="C14" s="225"/>
      <c r="D14" s="225"/>
      <c r="E14" s="225"/>
      <c r="G14" s="30">
        <f>Posts!I14/'Engagement Summary'!E15</f>
        <v>0.26651942005608814</v>
      </c>
    </row>
    <row r="15" spans="1:15">
      <c r="A15" s="30">
        <f>(Posts!F15+Posts!G15+Posts!H15)/Posts!I15</f>
        <v>8.5063484278785892E-2</v>
      </c>
      <c r="C15" s="225"/>
      <c r="D15" s="225"/>
      <c r="E15" s="225"/>
      <c r="G15" s="30">
        <f>Posts!I15/'Engagement Summary'!E16</f>
        <v>0.12217831736002689</v>
      </c>
    </row>
    <row r="16" spans="1:15">
      <c r="A16" s="30">
        <f>(Posts!F16+Posts!G16+Posts!H16)/Posts!I16</f>
        <v>0.11274405206444041</v>
      </c>
      <c r="G16" s="30">
        <f>Posts!I16/'Engagement Summary'!E17</f>
        <v>0.11023135883994226</v>
      </c>
      <c r="J16" s="58"/>
    </row>
    <row r="17" spans="1:10">
      <c r="A17" s="30">
        <f>(Posts!F17+Posts!G17+Posts!H17)/Posts!I17</f>
        <v>9.3810966751068869E-2</v>
      </c>
      <c r="G17" s="30">
        <f>Posts!I17/'Engagement Summary'!E18</f>
        <v>0.62683110868264247</v>
      </c>
      <c r="J17" s="58"/>
    </row>
    <row r="18" spans="1:10">
      <c r="A18" s="30">
        <f>(Posts!F18+Posts!G18+Posts!H18)/Posts!I18</f>
        <v>4.7214969538729328E-2</v>
      </c>
      <c r="G18" s="30">
        <f>Posts!I18/'Engagement Summary'!E19</f>
        <v>0.2141758702642248</v>
      </c>
    </row>
    <row r="19" spans="1:10">
      <c r="A19" s="30">
        <f>(Posts!F19+Posts!G19+Posts!H19)/Posts!I19</f>
        <v>0.1408079806679472</v>
      </c>
      <c r="G19" s="30">
        <f>Posts!I19/'Engagement Summary'!E20</f>
        <v>0.19024548374738456</v>
      </c>
    </row>
    <row r="20" spans="1:10">
      <c r="A20" s="30">
        <f>(Posts!F20+Posts!G20+Posts!H20)/Posts!I20</f>
        <v>6.4255640042732362E-2</v>
      </c>
      <c r="G20" s="30">
        <f>Posts!I20/'Engagement Summary'!E21</f>
        <v>0.12067690697647965</v>
      </c>
    </row>
    <row r="21" spans="1:10">
      <c r="A21" s="30">
        <f>(Posts!F21+Posts!G21+Posts!H21)/Posts!I21</f>
        <v>0.15347655981879332</v>
      </c>
      <c r="G21" s="30">
        <f>Posts!I21/'Engagement Summary'!E22</f>
        <v>0.14081702678800123</v>
      </c>
    </row>
    <row r="22" spans="1:10">
      <c r="A22" s="30">
        <f>(Posts!F22+Posts!G22+Posts!H22)/Posts!I22</f>
        <v>4.3543867212761371E-2</v>
      </c>
      <c r="G22" s="30">
        <f>Posts!I22/'Engagement Summary'!E23</f>
        <v>0.27272059219776507</v>
      </c>
    </row>
    <row r="23" spans="1:10">
      <c r="A23" s="30">
        <f>(Posts!F23+Posts!G23+Posts!H23)/Posts!I23</f>
        <v>0.19548583208133888</v>
      </c>
      <c r="G23" s="30">
        <f>Posts!I23/'Engagement Summary'!E24</f>
        <v>0.10745635442087478</v>
      </c>
    </row>
    <row r="24" spans="1:10">
      <c r="A24" s="30">
        <f>(Posts!F24+Posts!G24+Posts!H24)/Posts!I24</f>
        <v>8.0047619047619048E-2</v>
      </c>
      <c r="G24" s="30">
        <f>Posts!I24/'Engagement Summary'!E25</f>
        <v>0.11035033604304714</v>
      </c>
    </row>
    <row r="25" spans="1:10">
      <c r="A25" s="30">
        <f>(Posts!F25+Posts!G25+Posts!H25)/Posts!I25</f>
        <v>0.11026748397882419</v>
      </c>
      <c r="G25" s="30">
        <f>Posts!I25/'Engagement Summary'!E26</f>
        <v>7.6289065198560949E-2</v>
      </c>
    </row>
    <row r="26" spans="1:10">
      <c r="A26" s="30">
        <f>(Posts!F26+Posts!G26+Posts!H26)/Posts!I26</f>
        <v>8.1036535115831879E-2</v>
      </c>
      <c r="G26" s="30">
        <f>Posts!I26/'Engagement Summary'!E27</f>
        <v>0.68752124699394379</v>
      </c>
    </row>
    <row r="27" spans="1:10">
      <c r="A27" s="30">
        <f>(Posts!F27+Posts!G27+Posts!H27)/Posts!I27</f>
        <v>5.173411449857148E-2</v>
      </c>
      <c r="G27" s="30">
        <f>Posts!I27/'Engagement Summary'!E28</f>
        <v>0.15702854806376321</v>
      </c>
    </row>
    <row r="28" spans="1:10">
      <c r="A28" s="30">
        <f>(Posts!F28+Posts!G28+Posts!H28)/Posts!I28</f>
        <v>0.11363049929041415</v>
      </c>
      <c r="G28" s="30">
        <f>Posts!I28/'Engagement Summary'!E29</f>
        <v>0.15452859905500507</v>
      </c>
    </row>
    <row r="29" spans="1:10">
      <c r="A29" s="30">
        <f>(Posts!F29+Posts!G29+Posts!H29)/Posts!I29</f>
        <v>8.205676046117874E-2</v>
      </c>
      <c r="G29" s="30">
        <f>Posts!I29/'Engagement Summary'!E30</f>
        <v>0.37370815631685195</v>
      </c>
    </row>
    <row r="30" spans="1:10">
      <c r="A30" s="30">
        <f>(Posts!F30+Posts!G30+Posts!H30)/Posts!I30</f>
        <v>6.9526910553533799E-2</v>
      </c>
      <c r="G30" s="30">
        <f>Posts!I30/'Engagement Summary'!E31</f>
        <v>0.18054498928003321</v>
      </c>
    </row>
    <row r="31" spans="1:10">
      <c r="A31" s="30">
        <f>(Posts!F31+Posts!G31+Posts!H31)/Posts!I31</f>
        <v>0.10399399962497656</v>
      </c>
      <c r="G31" s="30">
        <f>Posts!I31/'Engagement Summary'!E32</f>
        <v>0.38800128048425586</v>
      </c>
    </row>
    <row r="32" spans="1:10">
      <c r="A32" s="30">
        <f>(Posts!F32+Posts!G32+Posts!H32)/Posts!I32</f>
        <v>8.0484684812735408E-2</v>
      </c>
      <c r="G32" s="30">
        <f>Posts!I32/'Engagement Summary'!E33</f>
        <v>0.48728626466386737</v>
      </c>
    </row>
    <row r="33" spans="1:7">
      <c r="A33" s="30">
        <f>(Posts!F33+Posts!G33+Posts!H33)/Posts!I33</f>
        <v>7.519889311656866E-2</v>
      </c>
      <c r="G33" s="30">
        <f>Posts!I33/'Engagement Summary'!E34</f>
        <v>0.15670962193103549</v>
      </c>
    </row>
    <row r="34" spans="1:7">
      <c r="A34" s="30">
        <f>(Posts!F34+Posts!G34+Posts!H34)/Posts!I34</f>
        <v>0.16177247444144061</v>
      </c>
      <c r="G34" s="30">
        <f>Posts!I34/'Engagement Summary'!E35</f>
        <v>9.1025575751404381E-2</v>
      </c>
    </row>
    <row r="35" spans="1:7">
      <c r="A35" s="30">
        <f>(Posts!F35+Posts!G35+Posts!H35)/Posts!I35</f>
        <v>4.4299315445747112E-2</v>
      </c>
      <c r="G35" s="30">
        <f>Posts!I35/'Engagement Summary'!E36</f>
        <v>0.62050614370575308</v>
      </c>
    </row>
    <row r="36" spans="1:7">
      <c r="A36" s="30">
        <f>(Posts!F36+Posts!G36+Posts!H36)/Posts!I36</f>
        <v>9.7668038408779148E-2</v>
      </c>
      <c r="G36" s="30">
        <f>Posts!I36/'Engagement Summary'!E37</f>
        <v>0.24294846547702004</v>
      </c>
    </row>
    <row r="37" spans="1:7">
      <c r="A37" s="30">
        <f>(Posts!F37+Posts!G37+Posts!H37)/Posts!I37</f>
        <v>6.3600055728416843E-2</v>
      </c>
      <c r="G37" s="30">
        <f>Posts!I37/'Engagement Summary'!E38</f>
        <v>0.22131092782445591</v>
      </c>
    </row>
    <row r="38" spans="1:7">
      <c r="A38" s="30">
        <f>(Posts!F38+Posts!G38+Posts!H38)/Posts!I38</f>
        <v>0.10772626931567329</v>
      </c>
      <c r="G38" s="30">
        <f>Posts!I38/'Engagement Summary'!E39</f>
        <v>0.19175577172173824</v>
      </c>
    </row>
    <row r="39" spans="1:7">
      <c r="A39" s="30">
        <f>(Posts!F39+Posts!G39+Posts!H39)/Posts!I39</f>
        <v>3.9122543637545096E-2</v>
      </c>
      <c r="G39" s="30">
        <f>Posts!I39/'Engagement Summary'!E40</f>
        <v>0.16465592302356813</v>
      </c>
    </row>
    <row r="40" spans="1:7">
      <c r="A40" s="30">
        <f>(Posts!F40+Posts!G40+Posts!H40)/Posts!I40</f>
        <v>3.9913595142645857E-2</v>
      </c>
      <c r="G40" s="30">
        <f>Posts!I40/'Engagement Summary'!E41</f>
        <v>0.15344280309477526</v>
      </c>
    </row>
    <row r="41" spans="1:7">
      <c r="A41" s="30">
        <f>(Posts!F41+Posts!G41+Posts!H41)/Posts!I41</f>
        <v>0.14436927106067218</v>
      </c>
      <c r="G41" s="30">
        <f>Posts!I41/'Engagement Summary'!E42</f>
        <v>7.6547403591814001E-2</v>
      </c>
    </row>
    <row r="42" spans="1:7">
      <c r="A42" s="30">
        <f>(Posts!F42+Posts!G42+Posts!H42)/Posts!I42</f>
        <v>0.10863928268508422</v>
      </c>
      <c r="G42" s="30">
        <f>Posts!I42/'Engagement Summary'!E43</f>
        <v>0.11517046009573118</v>
      </c>
    </row>
    <row r="43" spans="1:7">
      <c r="A43" s="30">
        <f>(Posts!F43+Posts!G43+Posts!H43)/Posts!I43</f>
        <v>9.379528682585335E-2</v>
      </c>
      <c r="G43" s="30">
        <f>Posts!I43/'Engagement Summary'!E44</f>
        <v>0.12173297073718836</v>
      </c>
    </row>
    <row r="44" spans="1:7">
      <c r="A44" s="30">
        <f>(Posts!F44+Posts!G44+Posts!H44)/Posts!I44</f>
        <v>0.11750707750379519</v>
      </c>
      <c r="G44" s="30">
        <f>Posts!I44/'Engagement Summary'!E45</f>
        <v>0.18115667343040412</v>
      </c>
    </row>
    <row r="45" spans="1:7">
      <c r="A45" s="30">
        <f>(Posts!F45+Posts!G45+Posts!H45)/Posts!I45</f>
        <v>3.9937155714174881E-2</v>
      </c>
      <c r="G45" s="30">
        <f>Posts!I45/'Engagement Summary'!E46</f>
        <v>0.1658266404634243</v>
      </c>
    </row>
    <row r="46" spans="1:7">
      <c r="A46" s="30">
        <f>(Posts!F46+Posts!G46+Posts!H46)/Posts!I46</f>
        <v>0.11613367267898639</v>
      </c>
      <c r="G46" s="30">
        <f>Posts!I46/'Engagement Summary'!E47</f>
        <v>0.14541738910053464</v>
      </c>
    </row>
    <row r="47" spans="1:7">
      <c r="A47" s="30">
        <f>(Posts!F47+Posts!G47+Posts!H47)/Posts!I47</f>
        <v>0.14600091693410577</v>
      </c>
      <c r="G47" s="30">
        <f>Posts!I47/'Engagement Summary'!E48</f>
        <v>6.4668544398474456E-2</v>
      </c>
    </row>
    <row r="48" spans="1:7">
      <c r="A48" s="30">
        <f>(Posts!F48+Posts!G48+Posts!H48)/Posts!I48</f>
        <v>9.8072192379135503E-2</v>
      </c>
      <c r="G48" s="30">
        <f>Posts!I48/'Engagement Summary'!E49</f>
        <v>0.22450014651849515</v>
      </c>
    </row>
    <row r="49" spans="1:7">
      <c r="A49" s="30">
        <f>(Posts!F49+Posts!G49+Posts!H49)/Posts!I49</f>
        <v>0.15735977431131762</v>
      </c>
      <c r="G49" s="30">
        <f>Posts!I49/'Engagement Summary'!E50</f>
        <v>0.29852003220013623</v>
      </c>
    </row>
    <row r="50" spans="1:7">
      <c r="A50" s="30">
        <f>(Posts!F50+Posts!G50+Posts!H50)/Posts!I50</f>
        <v>0.1087862256289851</v>
      </c>
      <c r="G50" s="30">
        <f>Posts!I50/'Engagement Summary'!E51</f>
        <v>0.11986226723797805</v>
      </c>
    </row>
    <row r="51" spans="1:7">
      <c r="A51" s="30">
        <f>(Posts!F51+Posts!G51+Posts!H51)/Posts!I51</f>
        <v>0.20241060666934513</v>
      </c>
      <c r="G51" s="30">
        <f>Posts!I51/'Engagement Summary'!E52</f>
        <v>7.2192846846167461E-2</v>
      </c>
    </row>
    <row r="52" spans="1:7">
      <c r="A52" s="30">
        <f>(Posts!F52+Posts!G52+Posts!H52)/Posts!I52</f>
        <v>0.10249760265016128</v>
      </c>
      <c r="G52" s="30">
        <f>Posts!I52/'Engagement Summary'!E53</f>
        <v>0.12237299707695919</v>
      </c>
    </row>
    <row r="53" spans="1:7">
      <c r="A53" s="30">
        <f>(Posts!F53+Posts!G53+Posts!H53)/Posts!I53</f>
        <v>0.15227535227535227</v>
      </c>
      <c r="G53" s="30">
        <f>Posts!I53/'Engagement Summary'!E54</f>
        <v>0.12039648238690406</v>
      </c>
    </row>
    <row r="54" spans="1:7">
      <c r="A54" s="30">
        <f>(Posts!F54+Posts!G54+Posts!H54)/Posts!I54</f>
        <v>5.8723551855705859E-2</v>
      </c>
      <c r="G54" s="30">
        <f>Posts!I54/'Engagement Summary'!E55</f>
        <v>0.16080048859253557</v>
      </c>
    </row>
    <row r="55" spans="1:7">
      <c r="A55" s="30">
        <f>(Posts!F55+Posts!G55+Posts!H55)/Posts!I55</f>
        <v>9.5101162290142052E-2</v>
      </c>
      <c r="G55" s="30">
        <f>Posts!I55/'Engagement Summary'!E56</f>
        <v>0.18188566023789987</v>
      </c>
    </row>
    <row r="56" spans="1:7">
      <c r="A56" s="30">
        <f>(Posts!F56+Posts!G56+Posts!H56)/Posts!I56</f>
        <v>4.781732706514439E-2</v>
      </c>
      <c r="G56" s="30">
        <f>Posts!I56/'Engagement Summary'!E57</f>
        <v>0.27140119361323184</v>
      </c>
    </row>
    <row r="57" spans="1:7">
      <c r="A57" s="30">
        <f>(Posts!F57+Posts!G57+Posts!H57)/Posts!I57</f>
        <v>0.13885094758408742</v>
      </c>
      <c r="G57" s="30">
        <f>Posts!I57/'Engagement Summary'!E58</f>
        <v>0.1546790614147443</v>
      </c>
    </row>
    <row r="58" spans="1:7">
      <c r="A58" s="30">
        <f>(Posts!F58+Posts!G58+Posts!H58)/Posts!I58</f>
        <v>0.10600966926007749</v>
      </c>
      <c r="G58" s="30">
        <f>Posts!I58/'Engagement Summary'!E59</f>
        <v>0.16596260222218681</v>
      </c>
    </row>
    <row r="59" spans="1:7">
      <c r="A59" s="30">
        <f>(Posts!F59+Posts!G59+Posts!H59)/Posts!I59</f>
        <v>8.8283323127168814E-2</v>
      </c>
      <c r="G59" s="30">
        <f>Posts!I59/'Engagement Summary'!E60</f>
        <v>0.13420079441172442</v>
      </c>
    </row>
    <row r="60" spans="1:7">
      <c r="A60" s="30">
        <f>(Posts!F60+Posts!G60+Posts!H60)/Posts!I60</f>
        <v>2.50275284149232E-2</v>
      </c>
      <c r="G60" s="30">
        <f>Posts!I60/'Engagement Summary'!E61</f>
        <v>0.16469991546914625</v>
      </c>
    </row>
    <row r="61" spans="1:7">
      <c r="A61" s="30">
        <f>(Posts!F61+Posts!G61+Posts!H61)/Posts!I61</f>
        <v>0.11124541239039185</v>
      </c>
      <c r="G61" s="30">
        <f>Posts!I61/'Engagement Summary'!E62</f>
        <v>0.52393234234130504</v>
      </c>
    </row>
    <row r="62" spans="1:7">
      <c r="A62" s="30">
        <f>(Posts!F62+Posts!G62+Posts!H62)/Posts!I62</f>
        <v>8.8087436599488311E-2</v>
      </c>
      <c r="G62" s="30">
        <f>Posts!I62/'Engagement Summary'!E63</f>
        <v>0.31565375705754423</v>
      </c>
    </row>
    <row r="63" spans="1:7">
      <c r="A63" s="30">
        <f>(Posts!F63+Posts!G63+Posts!H63)/Posts!I63</f>
        <v>4.3619068768968837E-2</v>
      </c>
      <c r="G63" s="30">
        <f>Posts!I63/'Engagement Summary'!E64</f>
        <v>0.36044184743456337</v>
      </c>
    </row>
    <row r="64" spans="1:7">
      <c r="A64" s="30">
        <f>(Posts!F64+Posts!G64+Posts!H64)/Posts!I64</f>
        <v>3.6351938233874857E-2</v>
      </c>
      <c r="G64" s="30">
        <f>Posts!I64/'Engagement Summary'!E65</f>
        <v>0.12090116778432129</v>
      </c>
    </row>
    <row r="65" spans="1:7">
      <c r="A65" s="30">
        <f>(Posts!F65+Posts!G65+Posts!H65)/Posts!I65</f>
        <v>9.2093661212893113E-2</v>
      </c>
      <c r="G65" s="30">
        <f>Posts!I65/'Engagement Summary'!E66</f>
        <v>0.17365104425405078</v>
      </c>
    </row>
    <row r="66" spans="1:7">
      <c r="A66" s="30">
        <f>(Posts!F66+Posts!G66+Posts!H66)/Posts!I66</f>
        <v>3.5777344113000653E-2</v>
      </c>
      <c r="G66" s="30">
        <f>Posts!I66/'Engagement Summary'!E67</f>
        <v>0.3643942677574904</v>
      </c>
    </row>
    <row r="67" spans="1:7">
      <c r="A67" s="30">
        <f>(Posts!F67+Posts!G67+Posts!H67)/Posts!I67</f>
        <v>9.0267383317458164E-2</v>
      </c>
      <c r="G67" s="30">
        <f>Posts!I67/'Engagement Summary'!E68</f>
        <v>0.17990703538347139</v>
      </c>
    </row>
    <row r="68" spans="1:7">
      <c r="A68" s="30">
        <f>(Posts!F68+Posts!G68+Posts!H68)/Posts!I68</f>
        <v>0.17658969920637513</v>
      </c>
      <c r="G68" s="30">
        <f>Posts!I68/'Engagement Summary'!E69</f>
        <v>8.7764455667756827E-2</v>
      </c>
    </row>
    <row r="69" spans="1:7">
      <c r="A69" s="30">
        <f>(Posts!F69+Posts!G69+Posts!H69)/Posts!I69</f>
        <v>0.18517978620019437</v>
      </c>
      <c r="G69" s="30">
        <f>Posts!I69/'Engagement Summary'!E70</f>
        <v>0.1676851625519433</v>
      </c>
    </row>
    <row r="70" spans="1:7">
      <c r="A70" s="30">
        <f>(Posts!F70+Posts!G70+Posts!H70)/Posts!I70</f>
        <v>4.6406515707509172E-2</v>
      </c>
      <c r="G70" s="30">
        <f>Posts!I70/'Engagement Summary'!E71</f>
        <v>0.14581022355044568</v>
      </c>
    </row>
    <row r="71" spans="1:7">
      <c r="A71" s="30">
        <f>(Posts!F71+Posts!G71+Posts!H71)/Posts!I71</f>
        <v>0.10657378184897237</v>
      </c>
      <c r="G71" s="30">
        <f>Posts!I71/'Engagement Summary'!E72</f>
        <v>0.25664783278675568</v>
      </c>
    </row>
    <row r="72" spans="1:7">
      <c r="A72" s="30">
        <f>(Posts!F72+Posts!G72+Posts!H72)/Posts!I72</f>
        <v>0.1607525766064882</v>
      </c>
      <c r="G72" s="30">
        <f>Posts!I72/'Engagement Summary'!E73</f>
        <v>0.12723488332181879</v>
      </c>
    </row>
    <row r="73" spans="1:7">
      <c r="A73" s="30">
        <f>(Posts!F73+Posts!G73+Posts!H73)/Posts!I73</f>
        <v>8.1549489395129612E-2</v>
      </c>
      <c r="G73" s="30">
        <f>Posts!I73/'Engagement Summary'!E74</f>
        <v>8.2606350403744214E-2</v>
      </c>
    </row>
    <row r="74" spans="1:7">
      <c r="A74" s="30">
        <f>(Posts!F74+Posts!G74+Posts!H74)/Posts!I74</f>
        <v>5.2042268944371438E-2</v>
      </c>
      <c r="G74" s="30">
        <f>Posts!I74/'Engagement Summary'!E75</f>
        <v>0.31836008994404641</v>
      </c>
    </row>
    <row r="75" spans="1:7">
      <c r="A75" s="30">
        <f>(Posts!F75+Posts!G75+Posts!H75)/Posts!I75</f>
        <v>4.0418432004799221E-2</v>
      </c>
      <c r="G75" s="30">
        <f>Posts!I75/'Engagement Summary'!E76</f>
        <v>0.15994602698650676</v>
      </c>
    </row>
    <row r="76" spans="1:7">
      <c r="A76" s="30">
        <f>(Posts!F76+Posts!G76+Posts!H76)/Posts!I76</f>
        <v>5.1660428636136076E-2</v>
      </c>
      <c r="G76" s="30">
        <f>Posts!I76/'Engagement Summary'!E77</f>
        <v>0.11893885906934674</v>
      </c>
    </row>
    <row r="77" spans="1:7">
      <c r="A77" s="30">
        <f>(Posts!F77+Posts!G77+Posts!H77)/Posts!I77</f>
        <v>7.611534979956032E-2</v>
      </c>
      <c r="G77" s="30">
        <f>Posts!I77/'Engagement Summary'!E78</f>
        <v>0.24025078291991847</v>
      </c>
    </row>
    <row r="78" spans="1:7">
      <c r="A78" s="30">
        <f>(Posts!F78+Posts!G78+Posts!H78)/Posts!I78</f>
        <v>9.6080290300434801E-2</v>
      </c>
      <c r="G78" s="30">
        <f>Posts!I78/'Engagement Summary'!E79</f>
        <v>0.15513000613643163</v>
      </c>
    </row>
    <row r="79" spans="1:7">
      <c r="A79" s="30">
        <f>(Posts!F79+Posts!G79+Posts!H79)/Posts!I79</f>
        <v>0.13476527900797167</v>
      </c>
      <c r="G79" s="30">
        <f>Posts!I79/'Engagement Summary'!E80</f>
        <v>0.13183784762160553</v>
      </c>
    </row>
    <row r="80" spans="1:7">
      <c r="A80" s="30">
        <f>(Posts!F80+Posts!G80+Posts!H80)/Posts!I80</f>
        <v>0.14335162515829464</v>
      </c>
      <c r="G80" s="30">
        <f>Posts!I80/'Engagement Summary'!E81</f>
        <v>0.319292318474657</v>
      </c>
    </row>
    <row r="81" spans="1:7">
      <c r="A81" s="30">
        <f>(Posts!F81+Posts!G81+Posts!H81)/Posts!I81</f>
        <v>7.3021390374331557E-2</v>
      </c>
      <c r="G81" s="30">
        <f>Posts!I81/'Engagement Summary'!E82</f>
        <v>0.10640325696386557</v>
      </c>
    </row>
    <row r="82" spans="1:7">
      <c r="A82" s="30">
        <f>(Posts!F82+Posts!G82+Posts!H82)/Posts!I82</f>
        <v>8.8232696960599044E-2</v>
      </c>
      <c r="G82" s="30">
        <f>Posts!I82/'Engagement Summary'!E83</f>
        <v>0.16382500412289408</v>
      </c>
    </row>
    <row r="83" spans="1:7">
      <c r="A83" s="30">
        <f>(Posts!F83+Posts!G83+Posts!H83)/Posts!I83</f>
        <v>5.9312714776632303E-2</v>
      </c>
      <c r="G83" s="30">
        <f>Posts!I83/'Engagement Summary'!E84</f>
        <v>0.41326617560735451</v>
      </c>
    </row>
    <row r="84" spans="1:7">
      <c r="A84" s="30">
        <f>(Posts!F84+Posts!G84+Posts!H84)/Posts!I84</f>
        <v>0.1471166637746544</v>
      </c>
      <c r="G84" s="30">
        <f>Posts!I84/'Engagement Summary'!E85</f>
        <v>0.29043963243570142</v>
      </c>
    </row>
    <row r="85" spans="1:7">
      <c r="A85" s="30">
        <f>(Posts!F85+Posts!G85+Posts!H85)/Posts!I85</f>
        <v>0.16283364109451065</v>
      </c>
      <c r="G85" s="30">
        <f>Posts!I85/'Engagement Summary'!E86</f>
        <v>0.17350148540805033</v>
      </c>
    </row>
    <row r="86" spans="1:7">
      <c r="A86" s="30">
        <f>(Posts!F86+Posts!G86+Posts!H86)/Posts!I86</f>
        <v>6.0050273034584378E-2</v>
      </c>
      <c r="G86" s="30">
        <f>Posts!I86/'Engagement Summary'!E87</f>
        <v>0.33846343409688323</v>
      </c>
    </row>
    <row r="87" spans="1:7">
      <c r="A87" s="30">
        <f>(Posts!F87+Posts!G87+Posts!H87)/Posts!I87</f>
        <v>4.4438295517432211E-2</v>
      </c>
      <c r="G87" s="30">
        <f>Posts!I87/'Engagement Summary'!E88</f>
        <v>0.25759087669280112</v>
      </c>
    </row>
    <row r="88" spans="1:7">
      <c r="A88" s="30">
        <f>(Posts!F88+Posts!G88+Posts!H88)/Posts!I88</f>
        <v>6.1158416768035934E-2</v>
      </c>
      <c r="G88" s="30">
        <f>Posts!I88/'Engagement Summary'!E89</f>
        <v>0.4585199677358458</v>
      </c>
    </row>
    <row r="89" spans="1:7">
      <c r="A89" s="30">
        <f>(Posts!F89+Posts!G89+Posts!H89)/Posts!I89</f>
        <v>0.18086628511966701</v>
      </c>
      <c r="G89" s="30">
        <f>Posts!I89/'Engagement Summary'!E90</f>
        <v>0.17383636137522471</v>
      </c>
    </row>
    <row r="90" spans="1:7">
      <c r="A90" s="30">
        <f>(Posts!F90+Posts!G90+Posts!H90)/Posts!I90</f>
        <v>9.8770390509144837E-2</v>
      </c>
      <c r="G90" s="30">
        <f>Posts!I90/'Engagement Summary'!E91</f>
        <v>9.9038923447391694E-2</v>
      </c>
    </row>
    <row r="91" spans="1:7">
      <c r="A91" s="30">
        <f>(Posts!F91+Posts!G91+Posts!H91)/Posts!I91</f>
        <v>0.17642537414658407</v>
      </c>
      <c r="G91" s="30">
        <f>Posts!I91/'Engagement Summary'!E92</f>
        <v>9.1925119909558678E-2</v>
      </c>
    </row>
    <row r="92" spans="1:7">
      <c r="A92" s="30">
        <f>(Posts!F92+Posts!G92+Posts!H92)/Posts!I92</f>
        <v>7.8512996756861422E-2</v>
      </c>
      <c r="G92" s="30">
        <f>Posts!I92/'Engagement Summary'!E93</f>
        <v>5.5345403108708349E-2</v>
      </c>
    </row>
    <row r="93" spans="1:7">
      <c r="A93" s="30">
        <f>(Posts!F93+Posts!G93+Posts!H93)/Posts!I93</f>
        <v>7.974671020085089E-2</v>
      </c>
      <c r="G93" s="30">
        <f>Posts!I93/'Engagement Summary'!E94</f>
        <v>0.2459682652995003</v>
      </c>
    </row>
    <row r="94" spans="1:7">
      <c r="A94" s="30">
        <f>(Posts!F94+Posts!G94+Posts!H94)/Posts!I94</f>
        <v>6.3999063999063993E-2</v>
      </c>
      <c r="G94" s="30">
        <f>Posts!I94/'Engagement Summary'!E95</f>
        <v>0.18411529016414632</v>
      </c>
    </row>
    <row r="95" spans="1:7">
      <c r="A95" s="30">
        <f>(Posts!F95+Posts!G95+Posts!H95)/Posts!I95</f>
        <v>0.1439786294499264</v>
      </c>
      <c r="G95" s="30">
        <f>Posts!I95/'Engagement Summary'!E96</f>
        <v>0.23527676412680293</v>
      </c>
    </row>
    <row r="96" spans="1:7">
      <c r="A96" s="30">
        <f>(Posts!F96+Posts!G96+Posts!H96)/Posts!I96</f>
        <v>0.14130742382794076</v>
      </c>
      <c r="G96" s="30">
        <f>Posts!I96/'Engagement Summary'!E97</f>
        <v>8.2051718666553142E-2</v>
      </c>
    </row>
    <row r="97" spans="1:7">
      <c r="A97" s="30">
        <f>(Posts!F97+Posts!G97+Posts!H97)/Posts!I97</f>
        <v>0.13528464682326713</v>
      </c>
      <c r="G97" s="30">
        <f>Posts!I97/'Engagement Summary'!E98</f>
        <v>7.1546929504579679E-2</v>
      </c>
    </row>
    <row r="98" spans="1:7">
      <c r="A98" s="30">
        <f>(Posts!F98+Posts!G98+Posts!H98)/Posts!I98</f>
        <v>0.10550008380623997</v>
      </c>
      <c r="G98" s="30">
        <f>Posts!I98/'Engagement Summary'!E99</f>
        <v>0.12216547318169053</v>
      </c>
    </row>
    <row r="99" spans="1:7">
      <c r="A99" s="30">
        <f>(Posts!F99+Posts!G99+Posts!H99)/Posts!I99</f>
        <v>9.4690354648038683E-2</v>
      </c>
      <c r="G99" s="30">
        <f>Posts!I99/'Engagement Summary'!E100</f>
        <v>0.33863300352553166</v>
      </c>
    </row>
    <row r="100" spans="1:7">
      <c r="A100" s="30">
        <f>(Posts!F100+Posts!G100+Posts!H100)/Posts!I100</f>
        <v>6.934441139598338E-2</v>
      </c>
      <c r="G100" s="30">
        <f>Posts!I100/'Engagement Summary'!E101</f>
        <v>0.12413264901349315</v>
      </c>
    </row>
    <row r="101" spans="1:7">
      <c r="A101" s="30">
        <f>(Posts!F101+Posts!G101+Posts!H101)/Posts!I101</f>
        <v>0.10077583818232197</v>
      </c>
      <c r="G101" s="30">
        <f>Posts!I101/'Engagement Summary'!E102</f>
        <v>0.13286064541779868</v>
      </c>
    </row>
    <row r="102" spans="1:7">
      <c r="A102" s="30">
        <f>(Posts!F102+Posts!G102+Posts!H102)/Posts!I102</f>
        <v>8.2866791077934779E-2</v>
      </c>
      <c r="G102" s="30">
        <f>Posts!I102/'Engagement Summary'!E103</f>
        <v>0.13482661426804174</v>
      </c>
    </row>
    <row r="103" spans="1:7">
      <c r="A103" s="30">
        <f>(Posts!F103+Posts!G103+Posts!H103)/Posts!I103</f>
        <v>0.14485195154777927</v>
      </c>
      <c r="G103" s="30">
        <f>Posts!I103/'Engagement Summary'!E104</f>
        <v>6.4436398326214686E-2</v>
      </c>
    </row>
    <row r="104" spans="1:7">
      <c r="A104" s="30">
        <f>(Posts!F104+Posts!G104+Posts!H104)/Posts!I104</f>
        <v>6.6614370881706936E-2</v>
      </c>
      <c r="G104" s="30">
        <f>Posts!I104/'Engagement Summary'!E105</f>
        <v>0.19048472894626742</v>
      </c>
    </row>
    <row r="105" spans="1:7">
      <c r="A105" s="30">
        <f>(Posts!F105+Posts!G105+Posts!H105)/Posts!I105</f>
        <v>8.8705674736667947E-2</v>
      </c>
      <c r="G105" s="30">
        <f>Posts!I105/'Engagement Summary'!E106</f>
        <v>0.18615991910107746</v>
      </c>
    </row>
    <row r="106" spans="1:7">
      <c r="A106" s="30">
        <f>(Posts!F106+Posts!G106+Posts!H106)/Posts!I106</f>
        <v>6.2084853138798232E-2</v>
      </c>
      <c r="G106" s="30">
        <f>Posts!I106/'Engagement Summary'!E107</f>
        <v>0.16537452933818442</v>
      </c>
    </row>
    <row r="107" spans="1:7">
      <c r="A107" s="30">
        <f>(Posts!F107+Posts!G107+Posts!H107)/Posts!I107</f>
        <v>0.23193025217961938</v>
      </c>
      <c r="G107" s="30">
        <f>Posts!I107/'Engagement Summary'!E108</f>
        <v>0.28085834649815694</v>
      </c>
    </row>
    <row r="108" spans="1:7">
      <c r="A108" s="30">
        <f>(Posts!F108+Posts!G108+Posts!H108)/Posts!I108</f>
        <v>8.6598679355949518E-2</v>
      </c>
      <c r="G108" s="30">
        <f>Posts!I108/'Engagement Summary'!E109</f>
        <v>0.14650500749808043</v>
      </c>
    </row>
    <row r="109" spans="1:7">
      <c r="A109" s="30">
        <f>(Posts!F109+Posts!G109+Posts!H109)/Posts!I109</f>
        <v>0.10949965468790931</v>
      </c>
      <c r="G109" s="30">
        <f>Posts!I109/'Engagement Summary'!E110</f>
        <v>0.14134100777542158</v>
      </c>
    </row>
    <row r="110" spans="1:7">
      <c r="A110" s="30">
        <f>(Posts!F110+Posts!G110+Posts!H110)/Posts!I110</f>
        <v>0.13838335084182732</v>
      </c>
      <c r="G110" s="30">
        <f>Posts!I110/'Engagement Summary'!E111</f>
        <v>0.38267057800956106</v>
      </c>
    </row>
    <row r="111" spans="1:7">
      <c r="A111" s="30">
        <f>(Posts!F111+Posts!G111+Posts!H111)/Posts!I111</f>
        <v>0.16033389770445328</v>
      </c>
      <c r="G111" s="30">
        <f>Posts!I111/'Engagement Summary'!E112</f>
        <v>0.14544985968730315</v>
      </c>
    </row>
    <row r="112" spans="1:7">
      <c r="A112" s="30">
        <f>(Posts!F112+Posts!G112+Posts!H112)/Posts!I112</f>
        <v>0.16641897515158721</v>
      </c>
      <c r="G112" s="30">
        <f>Posts!I112/'Engagement Summary'!E113</f>
        <v>0.18967616813999638</v>
      </c>
    </row>
    <row r="113" spans="1:7">
      <c r="A113" s="30">
        <f>(Posts!F113+Posts!G113+Posts!H113)/Posts!I113</f>
        <v>5.2993862995521647E-2</v>
      </c>
      <c r="G113" s="30">
        <f>Posts!I113/'Engagement Summary'!E114</f>
        <v>0.18188674691525628</v>
      </c>
    </row>
    <row r="114" spans="1:7">
      <c r="A114" s="30">
        <f>(Posts!F114+Posts!G114+Posts!H114)/Posts!I114</f>
        <v>3.9674653122814763E-2</v>
      </c>
      <c r="G114" s="30">
        <f>Posts!I114/'Engagement Summary'!E115</f>
        <v>0.16154799737204317</v>
      </c>
    </row>
    <row r="115" spans="1:7">
      <c r="A115" s="30">
        <f>(Posts!F115+Posts!G115+Posts!H115)/Posts!I115</f>
        <v>5.1173769923769923E-2</v>
      </c>
      <c r="G115" s="30">
        <f>Posts!I115/'Engagement Summary'!E116</f>
        <v>0.13311424370838018</v>
      </c>
    </row>
    <row r="116" spans="1:7">
      <c r="A116" s="30">
        <f>(Posts!F116+Posts!G116+Posts!H116)/Posts!I116</f>
        <v>8.6978468608031198E-2</v>
      </c>
      <c r="G116" s="30">
        <f>Posts!I116/'Engagement Summary'!E117</f>
        <v>0.34162454658976038</v>
      </c>
    </row>
    <row r="117" spans="1:7">
      <c r="A117" s="30">
        <f>(Posts!F117+Posts!G117+Posts!H117)/Posts!I117</f>
        <v>4.9881554861634543E-2</v>
      </c>
      <c r="G117" s="30">
        <f>Posts!I117/'Engagement Summary'!E118</f>
        <v>0.10070702032141231</v>
      </c>
    </row>
    <row r="118" spans="1:7">
      <c r="A118" s="30">
        <f>(Posts!F118+Posts!G118+Posts!H118)/Posts!I118</f>
        <v>3.4977365592309385E-2</v>
      </c>
      <c r="G118" s="30">
        <f>Posts!I118/'Engagement Summary'!E119</f>
        <v>0.50655295613040641</v>
      </c>
    </row>
    <row r="119" spans="1:7">
      <c r="A119" s="30">
        <f>(Posts!F119+Posts!G119+Posts!H119)/Posts!I119</f>
        <v>4.1192869195216787E-2</v>
      </c>
      <c r="G119" s="30">
        <f>Posts!I119/'Engagement Summary'!E120</f>
        <v>0.42763250772536904</v>
      </c>
    </row>
    <row r="120" spans="1:7">
      <c r="A120" s="30">
        <f>(Posts!F120+Posts!G120+Posts!H120)/Posts!I120</f>
        <v>5.7963823356939871E-2</v>
      </c>
      <c r="G120" s="30">
        <f>Posts!I120/'Engagement Summary'!E121</f>
        <v>0.16148335378978537</v>
      </c>
    </row>
    <row r="121" spans="1:7">
      <c r="A121" s="30">
        <f>(Posts!F121+Posts!G121+Posts!H121)/Posts!I121</f>
        <v>4.7099090384865788E-2</v>
      </c>
      <c r="G121" s="30">
        <f>Posts!I121/'Engagement Summary'!E122</f>
        <v>0.18217831847910806</v>
      </c>
    </row>
    <row r="122" spans="1:7">
      <c r="A122" s="30">
        <f>(Posts!F122+Posts!G122+Posts!H122)/Posts!I122</f>
        <v>9.3980281287635997E-2</v>
      </c>
      <c r="G122" s="30">
        <f>Posts!I122/'Engagement Summary'!E123</f>
        <v>0.25123337128321899</v>
      </c>
    </row>
    <row r="123" spans="1:7">
      <c r="A123" s="30">
        <f>(Posts!F123+Posts!G123+Posts!H123)/Posts!I123</f>
        <v>3.5847516903707161E-2</v>
      </c>
      <c r="G123" s="30">
        <f>Posts!I123/'Engagement Summary'!E124</f>
        <v>0.1510432868672047</v>
      </c>
    </row>
    <row r="124" spans="1:7">
      <c r="A124" s="30">
        <f>(Posts!F124+Posts!G124+Posts!H124)/Posts!I124</f>
        <v>5.8764788517847777E-2</v>
      </c>
      <c r="G124" s="30">
        <f>Posts!I124/'Engagement Summary'!E125</f>
        <v>0.19958382736943089</v>
      </c>
    </row>
    <row r="125" spans="1:7">
      <c r="A125" s="30">
        <f>(Posts!F125+Posts!G125+Posts!H125)/Posts!I125</f>
        <v>8.5455879813503707E-2</v>
      </c>
      <c r="G125" s="30">
        <f>Posts!I125/'Engagement Summary'!E126</f>
        <v>0.1340168012774525</v>
      </c>
    </row>
    <row r="126" spans="1:7">
      <c r="A126" s="30">
        <f>(Posts!F126+Posts!G126+Posts!H126)/Posts!I126</f>
        <v>0.11041472996071611</v>
      </c>
      <c r="G126" s="30">
        <f>Posts!I126/'Engagement Summary'!E127</f>
        <v>0.12655984333252368</v>
      </c>
    </row>
    <row r="127" spans="1:7">
      <c r="A127" s="30">
        <f>(Posts!F127+Posts!G127+Posts!H127)/Posts!I127</f>
        <v>7.064131830503638E-2</v>
      </c>
      <c r="G127" s="30">
        <f>Posts!I127/'Engagement Summary'!E128</f>
        <v>0.3032377738479593</v>
      </c>
    </row>
    <row r="128" spans="1:7">
      <c r="A128" s="30">
        <f>(Posts!F128+Posts!G128+Posts!H128)/Posts!I128</f>
        <v>3.4738711788351875E-2</v>
      </c>
      <c r="G128" s="30">
        <f>Posts!I128/'Engagement Summary'!E129</f>
        <v>0.42960874559226325</v>
      </c>
    </row>
    <row r="129" spans="1:7">
      <c r="A129" s="30">
        <f>(Posts!F129+Posts!G129+Posts!H129)/Posts!I129</f>
        <v>0.10461100954702417</v>
      </c>
      <c r="G129" s="30">
        <f>Posts!I129/'Engagement Summary'!E130</f>
        <v>6.1907863795154512E-2</v>
      </c>
    </row>
    <row r="130" spans="1:7">
      <c r="A130" s="30">
        <f>(Posts!F130+Posts!G130+Posts!H130)/Posts!I130</f>
        <v>7.9993453221219743E-2</v>
      </c>
      <c r="G130" s="30">
        <f>Posts!I130/'Engagement Summary'!E131</f>
        <v>0.35286346474541769</v>
      </c>
    </row>
    <row r="131" spans="1:7">
      <c r="A131" s="30">
        <f>(Posts!F131+Posts!G131+Posts!H131)/Posts!I131</f>
        <v>2.811915575741384E-2</v>
      </c>
      <c r="G131" s="30">
        <f>Posts!I131/'Engagement Summary'!E132</f>
        <v>0.55597021853357842</v>
      </c>
    </row>
    <row r="132" spans="1:7">
      <c r="A132" s="30">
        <f>(Posts!F132+Posts!G132+Posts!H132)/Posts!I132</f>
        <v>5.4592988710635768E-2</v>
      </c>
      <c r="G132" s="30">
        <f>Posts!I132/'Engagement Summary'!E133</f>
        <v>0.20805106955309197</v>
      </c>
    </row>
    <row r="133" spans="1:7">
      <c r="A133" s="30">
        <f>(Posts!F133+Posts!G133+Posts!H133)/Posts!I133</f>
        <v>9.2466575934672959E-2</v>
      </c>
      <c r="G133" s="30">
        <f>Posts!I133/'Engagement Summary'!E134</f>
        <v>0.14652758023033136</v>
      </c>
    </row>
    <row r="134" spans="1:7">
      <c r="A134" s="30">
        <f>(Posts!F134+Posts!G134+Posts!H134)/Posts!I134</f>
        <v>4.7508511296812134E-2</v>
      </c>
      <c r="G134" s="30">
        <f>Posts!I134/'Engagement Summary'!E135</f>
        <v>0.15200324612317626</v>
      </c>
    </row>
    <row r="135" spans="1:7">
      <c r="A135" s="30">
        <f>(Posts!F135+Posts!G135+Posts!H135)/Posts!I135</f>
        <v>7.4861184558434685E-2</v>
      </c>
      <c r="G135" s="30">
        <f>Posts!I135/'Engagement Summary'!E136</f>
        <v>0.11877814287452841</v>
      </c>
    </row>
    <row r="136" spans="1:7">
      <c r="A136" s="30">
        <f>(Posts!F136+Posts!G136+Posts!H136)/Posts!I136</f>
        <v>9.6834214933149046E-2</v>
      </c>
      <c r="G136" s="30">
        <f>Posts!I136/'Engagement Summary'!E137</f>
        <v>0.10883847954197634</v>
      </c>
    </row>
    <row r="137" spans="1:7">
      <c r="A137" s="30">
        <f>(Posts!F137+Posts!G137+Posts!H137)/Posts!I137</f>
        <v>0.18723441538528934</v>
      </c>
      <c r="G137" s="30">
        <f>Posts!I137/'Engagement Summary'!E138</f>
        <v>0.10669315260574901</v>
      </c>
    </row>
    <row r="138" spans="1:7">
      <c r="A138" s="30">
        <f>(Posts!F138+Posts!G138+Posts!H138)/Posts!I138</f>
        <v>0.16610252187966945</v>
      </c>
      <c r="G138" s="30">
        <f>Posts!I138/'Engagement Summary'!E139</f>
        <v>0.12704802123084671</v>
      </c>
    </row>
    <row r="139" spans="1:7">
      <c r="A139" s="30">
        <f>(Posts!F139+Posts!G139+Posts!H139)/Posts!I139</f>
        <v>2.7809319322005904E-2</v>
      </c>
      <c r="G139" s="30">
        <f>Posts!I139/'Engagement Summary'!E140</f>
        <v>0.15077289904064645</v>
      </c>
    </row>
    <row r="140" spans="1:7">
      <c r="A140" s="30">
        <f>(Posts!F140+Posts!G140+Posts!H140)/Posts!I140</f>
        <v>0.11645414595490239</v>
      </c>
      <c r="G140" s="30">
        <f>Posts!I140/'Engagement Summary'!E141</f>
        <v>8.1978443821054181E-2</v>
      </c>
    </row>
    <row r="141" spans="1:7">
      <c r="A141" s="30">
        <f>(Posts!F141+Posts!G141+Posts!H141)/Posts!I141</f>
        <v>8.702596166915863E-2</v>
      </c>
      <c r="G141" s="30">
        <f>Posts!I141/'Engagement Summary'!E142</f>
        <v>0.10779921535299958</v>
      </c>
    </row>
    <row r="142" spans="1:7">
      <c r="A142" s="30">
        <f>(Posts!F142+Posts!G142+Posts!H142)/Posts!I142</f>
        <v>7.0594928198320889E-2</v>
      </c>
      <c r="G142" s="30">
        <f>Posts!I142/'Engagement Summary'!E143</f>
        <v>0.22292893268358671</v>
      </c>
    </row>
    <row r="143" spans="1:7">
      <c r="A143" s="30">
        <f>(Posts!F143+Posts!G143+Posts!H143)/Posts!I143</f>
        <v>0.11731037798484398</v>
      </c>
      <c r="G143" s="30">
        <f>Posts!I143/'Engagement Summary'!E144</f>
        <v>0.15419128912234625</v>
      </c>
    </row>
    <row r="144" spans="1:7">
      <c r="A144" s="30">
        <f>(Posts!F144+Posts!G144+Posts!H144)/Posts!I144</f>
        <v>9.2634518149573616E-2</v>
      </c>
      <c r="G144" s="30">
        <f>Posts!I144/'Engagement Summary'!E145</f>
        <v>0.19104326983726505</v>
      </c>
    </row>
    <row r="145" spans="1:7">
      <c r="A145" s="30">
        <f>(Posts!F145+Posts!G145+Posts!H145)/Posts!I145</f>
        <v>6.0370736430199488E-2</v>
      </c>
      <c r="G145" s="30">
        <f>Posts!I145/'Engagement Summary'!E146</f>
        <v>0.14013471610968367</v>
      </c>
    </row>
    <row r="146" spans="1:7">
      <c r="A146" s="30">
        <f>(Posts!F146+Posts!G146+Posts!H146)/Posts!I146</f>
        <v>0.11477740733477153</v>
      </c>
      <c r="G146" s="30">
        <f>Posts!I146/'Engagement Summary'!E147</f>
        <v>0.15392103962357415</v>
      </c>
    </row>
    <row r="147" spans="1:7">
      <c r="A147" s="30">
        <f>(Posts!F147+Posts!G147+Posts!H147)/Posts!I147</f>
        <v>8.1504318676747664E-2</v>
      </c>
      <c r="G147" s="30">
        <f>Posts!I147/'Engagement Summary'!E148</f>
        <v>0.17621644928317343</v>
      </c>
    </row>
    <row r="148" spans="1:7">
      <c r="A148" s="30">
        <f>(Posts!F148+Posts!G148+Posts!H148)/Posts!I148</f>
        <v>7.1988159338556151E-2</v>
      </c>
      <c r="G148" s="30">
        <f>Posts!I148/'Engagement Summary'!E149</f>
        <v>0.10702473583158768</v>
      </c>
    </row>
    <row r="149" spans="1:7">
      <c r="A149" s="30">
        <f>(Posts!F149+Posts!G149+Posts!H149)/Posts!I149</f>
        <v>0.10708707332819627</v>
      </c>
      <c r="G149" s="30">
        <f>Posts!I149/'Engagement Summary'!E150</f>
        <v>0.28517891610987378</v>
      </c>
    </row>
    <row r="150" spans="1:7">
      <c r="A150" s="30">
        <f>(Posts!F150+Posts!G150+Posts!H150)/Posts!I150</f>
        <v>8.1341895638137346E-2</v>
      </c>
      <c r="G150" s="30">
        <f>Posts!I150/'Engagement Summary'!E151</f>
        <v>0.22548395136946467</v>
      </c>
    </row>
    <row r="151" spans="1:7">
      <c r="A151" s="30">
        <f>(Posts!F151+Posts!G151+Posts!H151)/Posts!I151</f>
        <v>9.4928992718046723E-2</v>
      </c>
      <c r="G151" s="30">
        <f>Posts!I151/'Engagement Summary'!E152</f>
        <v>0.25634116881910246</v>
      </c>
    </row>
    <row r="152" spans="1:7">
      <c r="A152" s="30">
        <f>(Posts!F152+Posts!G152+Posts!H152)/Posts!I152</f>
        <v>6.9360859297630834E-2</v>
      </c>
      <c r="G152" s="30">
        <f>Posts!I152/'Engagement Summary'!E153</f>
        <v>0.16056903110589213</v>
      </c>
    </row>
    <row r="153" spans="1:7">
      <c r="A153" s="30">
        <f>(Posts!F153+Posts!G153+Posts!H153)/Posts!I153</f>
        <v>9.2425876010781671E-2</v>
      </c>
      <c r="G153" s="30">
        <f>Posts!I153/'Engagement Summary'!E154</f>
        <v>0.2186365565037009</v>
      </c>
    </row>
    <row r="154" spans="1:7">
      <c r="A154" s="30">
        <f>(Posts!F154+Posts!G154+Posts!H154)/Posts!I154</f>
        <v>8.2469701307376658E-2</v>
      </c>
      <c r="G154" s="30">
        <f>Posts!I154/'Engagement Summary'!E155</f>
        <v>0.19267472006177946</v>
      </c>
    </row>
    <row r="155" spans="1:7">
      <c r="A155" s="30">
        <f>(Posts!F155+Posts!G155+Posts!H155)/Posts!I155</f>
        <v>5.9585542168674697E-2</v>
      </c>
      <c r="G155" s="30">
        <f>Posts!I155/'Engagement Summary'!E156</f>
        <v>0.16417126346204361</v>
      </c>
    </row>
    <row r="156" spans="1:7">
      <c r="A156" s="30">
        <f>(Posts!F156+Posts!G156+Posts!H156)/Posts!I156</f>
        <v>0.10400389436534015</v>
      </c>
      <c r="G156" s="30">
        <f>Posts!I156/'Engagement Summary'!E157</f>
        <v>0.12047821803082553</v>
      </c>
    </row>
    <row r="157" spans="1:7">
      <c r="A157" s="30">
        <f>(Posts!F157+Posts!G157+Posts!H157)/Posts!I157</f>
        <v>3.8832755240536872E-2</v>
      </c>
      <c r="G157" s="30">
        <f>Posts!I157/'Engagement Summary'!E158</f>
        <v>0.18602628662804563</v>
      </c>
    </row>
    <row r="158" spans="1:7">
      <c r="A158" s="30">
        <f>(Posts!F158+Posts!G158+Posts!H158)/Posts!I158</f>
        <v>0.19390491670052823</v>
      </c>
      <c r="G158" s="30">
        <f>Posts!I158/'Engagement Summary'!E159</f>
        <v>0.21100555593662118</v>
      </c>
    </row>
    <row r="159" spans="1:7">
      <c r="A159" s="30">
        <f>(Posts!F159+Posts!G159+Posts!H159)/Posts!I159</f>
        <v>0.16116683482699271</v>
      </c>
      <c r="G159" s="30">
        <f>Posts!I159/'Engagement Summary'!E160</f>
        <v>0.29126834580877142</v>
      </c>
    </row>
    <row r="160" spans="1:7">
      <c r="A160" s="30">
        <f>(Posts!F160+Posts!G160+Posts!H160)/Posts!I160</f>
        <v>8.3133241487896081E-2</v>
      </c>
      <c r="G160" s="30">
        <f>Posts!I160/'Engagement Summary'!E161</f>
        <v>0.3942182359878344</v>
      </c>
    </row>
    <row r="161" spans="1:7">
      <c r="A161" s="30">
        <f>(Posts!F161+Posts!G161+Posts!H161)/Posts!I161</f>
        <v>4.9951325040562468E-2</v>
      </c>
      <c r="G161" s="30">
        <f>Posts!I161/'Engagement Summary'!E162</f>
        <v>0.12749649022641832</v>
      </c>
    </row>
    <row r="162" spans="1:7">
      <c r="A162" s="30">
        <f>(Posts!F162+Posts!G162+Posts!H162)/Posts!I162</f>
        <v>0.1552751489660007</v>
      </c>
      <c r="G162" s="30">
        <f>Posts!I162/'Engagement Summary'!E163</f>
        <v>0.10059899242334087</v>
      </c>
    </row>
    <row r="163" spans="1:7">
      <c r="A163" s="30">
        <f>(Posts!F163+Posts!G163+Posts!H163)/Posts!I163</f>
        <v>0.11258173796580792</v>
      </c>
      <c r="G163" s="30">
        <f>Posts!I163/'Engagement Summary'!E164</f>
        <v>8.9533288424438431E-2</v>
      </c>
    </row>
    <row r="164" spans="1:7">
      <c r="A164" s="30">
        <f>(Posts!F164+Posts!G164+Posts!H164)/Posts!I164</f>
        <v>0.11046681895390383</v>
      </c>
      <c r="G164" s="30">
        <f>Posts!I164/'Engagement Summary'!E165</f>
        <v>0.54340595509015388</v>
      </c>
    </row>
    <row r="165" spans="1:7">
      <c r="A165" s="30">
        <f>(Posts!F165+Posts!G165+Posts!H165)/Posts!I165</f>
        <v>3.5523669554455448E-2</v>
      </c>
      <c r="G165" s="30">
        <f>Posts!I165/'Engagement Summary'!E166</f>
        <v>0.28295186557159974</v>
      </c>
    </row>
    <row r="166" spans="1:7">
      <c r="A166" s="30">
        <f>(Posts!F166+Posts!G166+Posts!H166)/Posts!I166</f>
        <v>0.10652531529884847</v>
      </c>
      <c r="G166" s="30">
        <f>Posts!I166/'Engagement Summary'!E167</f>
        <v>9.7904475582040407E-2</v>
      </c>
    </row>
    <row r="167" spans="1:7">
      <c r="A167" s="30">
        <f>(Posts!F167+Posts!G167+Posts!H167)/Posts!I167</f>
        <v>9.2244407295403744E-2</v>
      </c>
      <c r="G167" s="30">
        <f>Posts!I167/'Engagement Summary'!E168</f>
        <v>0.2067654426471445</v>
      </c>
    </row>
    <row r="168" spans="1:7">
      <c r="A168" s="30">
        <f>(Posts!F168+Posts!G168+Posts!H168)/Posts!I168</f>
        <v>0.1612578785034196</v>
      </c>
      <c r="G168" s="30">
        <f>Posts!I168/'Engagement Summary'!E169</f>
        <v>0.1924672693367403</v>
      </c>
    </row>
    <row r="169" spans="1:7">
      <c r="A169" s="30">
        <f>(Posts!F169+Posts!G169+Posts!H169)/Posts!I169</f>
        <v>0.10143081434961637</v>
      </c>
      <c r="G169" s="30">
        <f>Posts!I169/'Engagement Summary'!E170</f>
        <v>0.15592147806004619</v>
      </c>
    </row>
    <row r="170" spans="1:7">
      <c r="A170" s="30">
        <f>(Posts!F170+Posts!G170+Posts!H170)/Posts!I170</f>
        <v>8.4528099363643333E-2</v>
      </c>
      <c r="G170" s="30">
        <f>Posts!I170/'Engagement Summary'!E171</f>
        <v>0.51097921686156977</v>
      </c>
    </row>
    <row r="171" spans="1:7">
      <c r="A171" s="30">
        <f>(Posts!F171+Posts!G171+Posts!H171)/Posts!I171</f>
        <v>0.15513030574705536</v>
      </c>
      <c r="G171" s="30">
        <f>Posts!I171/'Engagement Summary'!E172</f>
        <v>0.35150230915512087</v>
      </c>
    </row>
    <row r="172" spans="1:7">
      <c r="A172" s="30">
        <f>(Posts!F172+Posts!G172+Posts!H172)/Posts!I172</f>
        <v>9.8031707130274953E-2</v>
      </c>
      <c r="G172" s="30">
        <f>Posts!I172/'Engagement Summary'!E173</f>
        <v>0.10531324985381002</v>
      </c>
    </row>
    <row r="173" spans="1:7">
      <c r="A173" s="30">
        <f>(Posts!F173+Posts!G173+Posts!H173)/Posts!I173</f>
        <v>0.16447098339242397</v>
      </c>
      <c r="G173" s="30">
        <f>Posts!I173/'Engagement Summary'!E174</f>
        <v>6.9174807410314135E-2</v>
      </c>
    </row>
    <row r="174" spans="1:7">
      <c r="A174" s="30">
        <f>(Posts!F174+Posts!G174+Posts!H174)/Posts!I174</f>
        <v>0.10077178019329269</v>
      </c>
      <c r="G174" s="30">
        <f>Posts!I174/'Engagement Summary'!E175</f>
        <v>0.16988011103017894</v>
      </c>
    </row>
    <row r="175" spans="1:7">
      <c r="A175" s="30">
        <f>(Posts!F175+Posts!G175+Posts!H175)/Posts!I175</f>
        <v>0.10256458679558846</v>
      </c>
      <c r="G175" s="30">
        <f>Posts!I175/'Engagement Summary'!E176</f>
        <v>0.40845418080839246</v>
      </c>
    </row>
    <row r="176" spans="1:7">
      <c r="A176" s="30">
        <f>(Posts!F176+Posts!G176+Posts!H176)/Posts!I176</f>
        <v>5.6980732739746021E-2</v>
      </c>
      <c r="G176" s="30">
        <f>Posts!I176/'Engagement Summary'!E177</f>
        <v>0.19441458889799335</v>
      </c>
    </row>
    <row r="177" spans="1:7">
      <c r="A177" s="30">
        <f>(Posts!F177+Posts!G177+Posts!H177)/Posts!I177</f>
        <v>8.4227733207149463E-2</v>
      </c>
      <c r="G177" s="30">
        <f>Posts!I177/'Engagement Summary'!E178</f>
        <v>0.12887158023117221</v>
      </c>
    </row>
    <row r="178" spans="1:7">
      <c r="A178" s="30">
        <f>(Posts!F178+Posts!G178+Posts!H178)/Posts!I178</f>
        <v>0.1728980597474592</v>
      </c>
      <c r="G178" s="30">
        <f>Posts!I178/'Engagement Summary'!E179</f>
        <v>0.25512088188382454</v>
      </c>
    </row>
    <row r="179" spans="1:7">
      <c r="A179" s="30">
        <f>(Posts!F179+Posts!G179+Posts!H179)/Posts!I179</f>
        <v>7.3899528727564417E-2</v>
      </c>
      <c r="G179" s="30">
        <f>Posts!I179/'Engagement Summary'!E180</f>
        <v>0.31556464967145165</v>
      </c>
    </row>
    <row r="180" spans="1:7">
      <c r="A180" s="30">
        <f>(Posts!F180+Posts!G180+Posts!H180)/Posts!I180</f>
        <v>7.090200025160398E-2</v>
      </c>
      <c r="G180" s="30">
        <f>Posts!I180/'Engagement Summary'!E181</f>
        <v>0.11325007337248433</v>
      </c>
    </row>
    <row r="181" spans="1:7">
      <c r="A181" s="30">
        <f>(Posts!F181+Posts!G181+Posts!H181)/Posts!I181</f>
        <v>7.7731488624869283E-2</v>
      </c>
      <c r="G181" s="30">
        <f>Posts!I181/'Engagement Summary'!E182</f>
        <v>0.4803468636509623</v>
      </c>
    </row>
    <row r="182" spans="1:7">
      <c r="A182" s="30">
        <f>(Posts!F182+Posts!G182+Posts!H182)/Posts!I182</f>
        <v>4.2982250109049422E-2</v>
      </c>
      <c r="G182" s="30">
        <f>Posts!I182/'Engagement Summary'!E183</f>
        <v>0.51057888334960855</v>
      </c>
    </row>
    <row r="183" spans="1:7">
      <c r="A183" s="30">
        <f>(Posts!F183+Posts!G183+Posts!H183)/Posts!I183</f>
        <v>7.2213401079707848E-2</v>
      </c>
      <c r="G183" s="30">
        <f>Posts!I183/'Engagement Summary'!E184</f>
        <v>0.58182646826960982</v>
      </c>
    </row>
    <row r="184" spans="1:7">
      <c r="A184" s="30">
        <f>(Posts!F184+Posts!G184+Posts!H184)/Posts!I184</f>
        <v>0.16743869209809265</v>
      </c>
      <c r="G184" s="30">
        <f>Posts!I184/'Engagement Summary'!E185</f>
        <v>0.25273741477859651</v>
      </c>
    </row>
    <row r="185" spans="1:7">
      <c r="A185" s="30">
        <f>(Posts!F185+Posts!G185+Posts!H185)/Posts!I185</f>
        <v>6.2648374965860634E-2</v>
      </c>
      <c r="G185" s="30">
        <f>Posts!I185/'Engagement Summary'!E186</f>
        <v>0.17790959311669768</v>
      </c>
    </row>
    <row r="186" spans="1:7">
      <c r="A186" s="30">
        <f>(Posts!F186+Posts!G186+Posts!H186)/Posts!I186</f>
        <v>8.5966298051606105E-2</v>
      </c>
      <c r="G186" s="30">
        <f>Posts!I186/'Engagement Summary'!E187</f>
        <v>0.28538795629762104</v>
      </c>
    </row>
    <row r="187" spans="1:7">
      <c r="A187" s="30">
        <f>(Posts!F187+Posts!G187+Posts!H187)/Posts!I187</f>
        <v>0.22967524699836073</v>
      </c>
      <c r="G187" s="30">
        <f>Posts!I187/'Engagement Summary'!E188</f>
        <v>6.6276717260253054E-2</v>
      </c>
    </row>
    <row r="188" spans="1:7">
      <c r="A188" s="30">
        <f>(Posts!F188+Posts!G188+Posts!H188)/Posts!I188</f>
        <v>0.12920396165457337</v>
      </c>
      <c r="G188" s="30">
        <f>Posts!I188/'Engagement Summary'!E189</f>
        <v>0.32421526203722784</v>
      </c>
    </row>
    <row r="189" spans="1:7">
      <c r="A189" s="30">
        <f>(Posts!F189+Posts!G189+Posts!H189)/Posts!I189</f>
        <v>9.8222596516111871E-2</v>
      </c>
      <c r="G189" s="30">
        <f>Posts!I189/'Engagement Summary'!E190</f>
        <v>0.397859133072338</v>
      </c>
    </row>
    <row r="190" spans="1:7">
      <c r="A190" s="30">
        <f>(Posts!F190+Posts!G190+Posts!H190)/Posts!I190</f>
        <v>0.11349824183418362</v>
      </c>
      <c r="G190" s="30">
        <f>Posts!I190/'Engagement Summary'!E191</f>
        <v>0.31228141443505747</v>
      </c>
    </row>
    <row r="191" spans="1:7">
      <c r="A191" s="30">
        <f>(Posts!F191+Posts!G191+Posts!H191)/Posts!I191</f>
        <v>9.4251731312692155E-2</v>
      </c>
      <c r="G191" s="30">
        <f>Posts!I191/'Engagement Summary'!E192</f>
        <v>9.0754080988455985E-2</v>
      </c>
    </row>
    <row r="192" spans="1:7">
      <c r="A192" s="30">
        <f>(Posts!F192+Posts!G192+Posts!H192)/Posts!I192</f>
        <v>0.10173025732031943</v>
      </c>
      <c r="G192" s="30">
        <f>Posts!I192/'Engagement Summary'!E193</f>
        <v>0.29697165330469899</v>
      </c>
    </row>
    <row r="193" spans="1:7">
      <c r="A193" s="30">
        <f>(Posts!F193+Posts!G193+Posts!H193)/Posts!I193</f>
        <v>8.9237069349238848E-2</v>
      </c>
      <c r="G193" s="30">
        <f>Posts!I193/'Engagement Summary'!E194</f>
        <v>0.39054731557391298</v>
      </c>
    </row>
    <row r="194" spans="1:7">
      <c r="A194" s="30">
        <f>(Posts!F194+Posts!G194+Posts!H194)/Posts!I194</f>
        <v>6.5015829941203071E-2</v>
      </c>
      <c r="G194" s="30">
        <f>Posts!I194/'Engagement Summary'!E195</f>
        <v>8.9499072356215209E-2</v>
      </c>
    </row>
    <row r="195" spans="1:7">
      <c r="A195" s="30">
        <f>(Posts!F195+Posts!G195+Posts!H195)/Posts!I195</f>
        <v>5.6436966727204191E-2</v>
      </c>
      <c r="G195" s="30">
        <f>Posts!I195/'Engagement Summary'!E196</f>
        <v>0.40518157016015383</v>
      </c>
    </row>
    <row r="196" spans="1:7">
      <c r="A196" s="30">
        <f>(Posts!F196+Posts!G196+Posts!H196)/Posts!I196</f>
        <v>0.10713930842607314</v>
      </c>
      <c r="G196" s="30">
        <f>Posts!I196/'Engagement Summary'!E197</f>
        <v>0.14771001049410348</v>
      </c>
    </row>
    <row r="197" spans="1:7">
      <c r="A197" s="30">
        <f>(Posts!F197+Posts!G197+Posts!H197)/Posts!I197</f>
        <v>5.1833640647408315E-2</v>
      </c>
      <c r="G197" s="30">
        <f>Posts!I197/'Engagement Summary'!E198</f>
        <v>0.59332644502522336</v>
      </c>
    </row>
    <row r="198" spans="1:7">
      <c r="A198" s="30">
        <f>(Posts!F198+Posts!G198+Posts!H198)/Posts!I198</f>
        <v>3.5821698002251455E-2</v>
      </c>
      <c r="G198" s="30">
        <f>Posts!I198/'Engagement Summary'!E199</f>
        <v>0.18980935189850812</v>
      </c>
    </row>
    <row r="199" spans="1:7">
      <c r="A199" s="30">
        <f>(Posts!F199+Posts!G199+Posts!H199)/Posts!I199</f>
        <v>3.5034029141734799E-2</v>
      </c>
      <c r="G199" s="30">
        <f>Posts!I199/'Engagement Summary'!E200</f>
        <v>0.48695478102270956</v>
      </c>
    </row>
    <row r="200" spans="1:7">
      <c r="A200" s="30">
        <f>(Posts!F200+Posts!G200+Posts!H200)/Posts!I200</f>
        <v>0.13946227759085811</v>
      </c>
      <c r="G200" s="30">
        <f>Posts!I200/'Engagement Summary'!E201</f>
        <v>9.4615212540796023E-2</v>
      </c>
    </row>
    <row r="201" spans="1:7">
      <c r="A201" s="30">
        <f>(Posts!F201+Posts!G201+Posts!H201)/Posts!I201</f>
        <v>4.5247823769763724E-2</v>
      </c>
    </row>
    <row r="202" spans="1:7">
      <c r="A202" s="30">
        <f>(Posts!F202+Posts!G202+Posts!H202)/Posts!I202</f>
        <v>6.2974139146620034E-2</v>
      </c>
    </row>
    <row r="203" spans="1:7">
      <c r="A203" s="30">
        <f>(Posts!F203+Posts!G203+Posts!H203)/Posts!I203</f>
        <v>0.10784235029699792</v>
      </c>
    </row>
    <row r="204" spans="1:7">
      <c r="A204" s="30">
        <f>(Posts!F204+Posts!G204+Posts!H204)/Posts!I204</f>
        <v>8.2690258629040073E-2</v>
      </c>
    </row>
    <row r="205" spans="1:7">
      <c r="A205" s="30">
        <f>(Posts!F205+Posts!G205+Posts!H205)/Posts!I205</f>
        <v>9.7836889180216949E-2</v>
      </c>
    </row>
    <row r="206" spans="1:7">
      <c r="A206" s="30">
        <f>(Posts!F206+Posts!G206+Posts!H206)/Posts!I206</f>
        <v>7.7428927315357568E-2</v>
      </c>
    </row>
    <row r="207" spans="1:7">
      <c r="A207" s="30">
        <f>(Posts!F207+Posts!G207+Posts!H207)/Posts!I207</f>
        <v>7.9782521843353188E-2</v>
      </c>
    </row>
    <row r="208" spans="1:7">
      <c r="A208" s="30">
        <f>(Posts!F208+Posts!G208+Posts!H208)/Posts!I208</f>
        <v>7.1022341272152026E-2</v>
      </c>
    </row>
    <row r="209" spans="1:1">
      <c r="A209" s="30">
        <f>(Posts!F209+Posts!G209+Posts!H209)/Posts!I209</f>
        <v>3.9319108127547353E-2</v>
      </c>
    </row>
    <row r="210" spans="1:1">
      <c r="A210" s="30">
        <f>(Posts!F210+Posts!G210+Posts!H210)/Posts!I210</f>
        <v>7.7181741758116915E-2</v>
      </c>
    </row>
    <row r="211" spans="1:1">
      <c r="A211" s="30">
        <f>(Posts!F211+Posts!G211+Posts!H211)/Posts!I211</f>
        <v>3.4110398272247981E-2</v>
      </c>
    </row>
    <row r="212" spans="1:1">
      <c r="A212" s="30">
        <f>(Posts!F212+Posts!G212+Posts!H212)/Posts!I212</f>
        <v>3.1623578076525334E-2</v>
      </c>
    </row>
    <row r="213" spans="1:1">
      <c r="A213" s="30">
        <f>(Posts!F213+Posts!G213+Posts!H213)/Posts!I213</f>
        <v>4.0153279184466734E-2</v>
      </c>
    </row>
    <row r="214" spans="1:1">
      <c r="A214" s="30">
        <f>(Posts!F214+Posts!G214+Posts!H214)/Posts!I214</f>
        <v>0.17995832544042431</v>
      </c>
    </row>
    <row r="215" spans="1:1">
      <c r="A215" s="30">
        <f>(Posts!F215+Posts!G215+Posts!H215)/Posts!I215</f>
        <v>0.12555218709398008</v>
      </c>
    </row>
    <row r="216" spans="1:1">
      <c r="A216" s="30">
        <f>(Posts!F216+Posts!G216+Posts!H216)/Posts!I216</f>
        <v>8.2744836775483013E-2</v>
      </c>
    </row>
    <row r="217" spans="1:1">
      <c r="A217" s="30">
        <f>(Posts!F217+Posts!G217+Posts!H217)/Posts!I217</f>
        <v>5.2041730205988429E-2</v>
      </c>
    </row>
    <row r="218" spans="1:1">
      <c r="A218" s="30">
        <f>(Posts!F218+Posts!G218+Posts!H218)/Posts!I218</f>
        <v>9.4450189589796618E-2</v>
      </c>
    </row>
    <row r="219" spans="1:1">
      <c r="A219" s="30">
        <f>(Posts!F219+Posts!G219+Posts!H219)/Posts!I219</f>
        <v>0.12409349336702463</v>
      </c>
    </row>
    <row r="220" spans="1:1">
      <c r="A220" s="30">
        <f>(Posts!F220+Posts!G220+Posts!H220)/Posts!I220</f>
        <v>4.5610431884675749E-2</v>
      </c>
    </row>
    <row r="221" spans="1:1">
      <c r="A221" s="30">
        <f>(Posts!F221+Posts!G221+Posts!H221)/Posts!I221</f>
        <v>8.0371103929948923E-2</v>
      </c>
    </row>
    <row r="222" spans="1:1">
      <c r="A222" s="30">
        <f>(Posts!F222+Posts!G222+Posts!H222)/Posts!I222</f>
        <v>0.1271002400274317</v>
      </c>
    </row>
    <row r="223" spans="1:1">
      <c r="A223" s="30">
        <f>(Posts!F223+Posts!G223+Posts!H223)/Posts!I223</f>
        <v>8.6602037169406718E-2</v>
      </c>
    </row>
    <row r="224" spans="1:1">
      <c r="A224" s="30">
        <f>(Posts!F224+Posts!G224+Posts!H224)/Posts!I224</f>
        <v>2.9336922849977874E-2</v>
      </c>
    </row>
    <row r="225" spans="1:1">
      <c r="A225" s="30">
        <f>(Posts!F225+Posts!G225+Posts!H225)/Posts!I225</f>
        <v>0.11126822801590809</v>
      </c>
    </row>
    <row r="226" spans="1:1">
      <c r="A226" s="30">
        <f>(Posts!F226+Posts!G226+Posts!H226)/Posts!I226</f>
        <v>5.2566815966924252E-2</v>
      </c>
    </row>
    <row r="227" spans="1:1">
      <c r="A227" s="30">
        <f>(Posts!F227+Posts!G227+Posts!H227)/Posts!I227</f>
        <v>5.2513742764570971E-2</v>
      </c>
    </row>
    <row r="228" spans="1:1">
      <c r="A228" s="30">
        <f>(Posts!F228+Posts!G228+Posts!H228)/Posts!I228</f>
        <v>0.12406981463942633</v>
      </c>
    </row>
    <row r="229" spans="1:1">
      <c r="A229" s="30">
        <f>(Posts!F229+Posts!G229+Posts!H229)/Posts!I229</f>
        <v>3.1839004091338254E-2</v>
      </c>
    </row>
    <row r="230" spans="1:1">
      <c r="A230" s="30">
        <f>(Posts!F230+Posts!G230+Posts!H230)/Posts!I230</f>
        <v>9.191926295801392E-2</v>
      </c>
    </row>
    <row r="231" spans="1:1">
      <c r="A231" s="30">
        <f>(Posts!F231+Posts!G231+Posts!H231)/Posts!I231</f>
        <v>4.9646286003031836E-2</v>
      </c>
    </row>
    <row r="232" spans="1:1">
      <c r="A232" s="30">
        <f>(Posts!F232+Posts!G232+Posts!H232)/Posts!I232</f>
        <v>6.76784936509532E-2</v>
      </c>
    </row>
    <row r="233" spans="1:1">
      <c r="A233" s="30">
        <f>(Posts!F233+Posts!G233+Posts!H233)/Posts!I233</f>
        <v>0.10985069273191947</v>
      </c>
    </row>
    <row r="234" spans="1:1">
      <c r="A234" s="30">
        <f>(Posts!F234+Posts!G234+Posts!H234)/Posts!I234</f>
        <v>8.0741841282852611E-2</v>
      </c>
    </row>
    <row r="235" spans="1:1">
      <c r="A235" s="30">
        <f>(Posts!F235+Posts!G235+Posts!H235)/Posts!I235</f>
        <v>0.16790703227603773</v>
      </c>
    </row>
    <row r="236" spans="1:1">
      <c r="A236" s="30">
        <f>(Posts!F236+Posts!G236+Posts!H236)/Posts!I236</f>
        <v>6.4655069273288512E-2</v>
      </c>
    </row>
    <row r="237" spans="1:1">
      <c r="A237" s="30">
        <f>(Posts!F237+Posts!G237+Posts!H237)/Posts!I237</f>
        <v>8.1666436749896543E-2</v>
      </c>
    </row>
    <row r="238" spans="1:1">
      <c r="A238" s="30">
        <f>(Posts!F238+Posts!G238+Posts!H238)/Posts!I238</f>
        <v>0.13077197816215114</v>
      </c>
    </row>
    <row r="239" spans="1:1">
      <c r="A239" s="30">
        <f>(Posts!F239+Posts!G239+Posts!H239)/Posts!I239</f>
        <v>5.3094209744904843E-2</v>
      </c>
    </row>
    <row r="240" spans="1:1">
      <c r="A240" s="30">
        <f>(Posts!F240+Posts!G240+Posts!H240)/Posts!I240</f>
        <v>0.17088145896656534</v>
      </c>
    </row>
    <row r="241" spans="1:1">
      <c r="A241" s="30">
        <f>(Posts!F241+Posts!G241+Posts!H241)/Posts!I241</f>
        <v>0.10547128720437092</v>
      </c>
    </row>
    <row r="242" spans="1:1">
      <c r="A242" s="30">
        <f>(Posts!F242+Posts!G242+Posts!H242)/Posts!I242</f>
        <v>4.819683813738912E-2</v>
      </c>
    </row>
    <row r="243" spans="1:1">
      <c r="A243" s="30">
        <f>(Posts!F243+Posts!G243+Posts!H243)/Posts!I243</f>
        <v>0.13404136389044158</v>
      </c>
    </row>
    <row r="244" spans="1:1">
      <c r="A244" s="30">
        <f>(Posts!F244+Posts!G244+Posts!H244)/Posts!I244</f>
        <v>9.8193807339449546E-2</v>
      </c>
    </row>
    <row r="245" spans="1:1">
      <c r="A245" s="30">
        <f>(Posts!F245+Posts!G245+Posts!H245)/Posts!I245</f>
        <v>8.6517714206166912E-2</v>
      </c>
    </row>
    <row r="246" spans="1:1">
      <c r="A246" s="30">
        <f>(Posts!F246+Posts!G246+Posts!H246)/Posts!I246</f>
        <v>9.2712236723090841E-2</v>
      </c>
    </row>
    <row r="247" spans="1:1">
      <c r="A247" s="30">
        <f>(Posts!F247+Posts!G247+Posts!H247)/Posts!I247</f>
        <v>0.16477245248343569</v>
      </c>
    </row>
    <row r="248" spans="1:1">
      <c r="A248" s="30">
        <f>(Posts!F248+Posts!G248+Posts!H248)/Posts!I248</f>
        <v>7.1354340971940891E-2</v>
      </c>
    </row>
    <row r="249" spans="1:1">
      <c r="A249" s="30">
        <f>(Posts!F249+Posts!G249+Posts!H249)/Posts!I249</f>
        <v>0.19261223173659131</v>
      </c>
    </row>
    <row r="250" spans="1:1">
      <c r="A250" s="30">
        <f>(Posts!F250+Posts!G250+Posts!H250)/Posts!I250</f>
        <v>0.14674444862627023</v>
      </c>
    </row>
    <row r="251" spans="1:1">
      <c r="A251" s="30">
        <f>(Posts!F251+Posts!G251+Posts!H251)/Posts!I251</f>
        <v>0.17799483100057059</v>
      </c>
    </row>
    <row r="252" spans="1:1">
      <c r="A252" s="30">
        <f>(Posts!F252+Posts!G252+Posts!H252)/Posts!I252</f>
        <v>4.4258807658382193E-2</v>
      </c>
    </row>
    <row r="253" spans="1:1">
      <c r="A253" s="30">
        <f>(Posts!F253+Posts!G253+Posts!H253)/Posts!I253</f>
        <v>0.10762898272970794</v>
      </c>
    </row>
    <row r="254" spans="1:1">
      <c r="A254" s="30">
        <f>(Posts!F254+Posts!G254+Posts!H254)/Posts!I254</f>
        <v>5.0121212121212122E-2</v>
      </c>
    </row>
    <row r="255" spans="1:1">
      <c r="A255" s="30">
        <f>(Posts!F255+Posts!G255+Posts!H255)/Posts!I255</f>
        <v>0.15451192239551567</v>
      </c>
    </row>
    <row r="256" spans="1:1">
      <c r="A256" s="30">
        <f>(Posts!F256+Posts!G256+Posts!H256)/Posts!I256</f>
        <v>5.7503193495407452E-2</v>
      </c>
    </row>
    <row r="257" spans="1:1">
      <c r="A257" s="30">
        <f>(Posts!F257+Posts!G257+Posts!H257)/Posts!I257</f>
        <v>5.2312660271630736E-2</v>
      </c>
    </row>
    <row r="258" spans="1:1">
      <c r="A258" s="30">
        <f>(Posts!F258+Posts!G258+Posts!H258)/Posts!I258</f>
        <v>8.5608773500447627E-2</v>
      </c>
    </row>
    <row r="259" spans="1:1">
      <c r="A259" s="30">
        <f>(Posts!F259+Posts!G259+Posts!H259)/Posts!I259</f>
        <v>3.3729709324273313E-2</v>
      </c>
    </row>
    <row r="260" spans="1:1">
      <c r="A260" s="30">
        <f>(Posts!F260+Posts!G260+Posts!H260)/Posts!I260</f>
        <v>7.5077784691972627E-2</v>
      </c>
    </row>
    <row r="261" spans="1:1">
      <c r="A261" s="30">
        <f>(Posts!F261+Posts!G261+Posts!H261)/Posts!I261</f>
        <v>8.3423643616408028E-2</v>
      </c>
    </row>
    <row r="262" spans="1:1">
      <c r="A262" s="30">
        <f>(Posts!F262+Posts!G262+Posts!H262)/Posts!I262</f>
        <v>6.8477000386548123E-2</v>
      </c>
    </row>
    <row r="263" spans="1:1">
      <c r="A263" s="30">
        <f>(Posts!F263+Posts!G263+Posts!H263)/Posts!I263</f>
        <v>0.12190780876853062</v>
      </c>
    </row>
    <row r="264" spans="1:1">
      <c r="A264" s="30">
        <f>(Posts!F264+Posts!G264+Posts!H264)/Posts!I264</f>
        <v>5.4473577117609438E-2</v>
      </c>
    </row>
    <row r="265" spans="1:1">
      <c r="A265" s="30">
        <f>(Posts!F265+Posts!G265+Posts!H265)/Posts!I265</f>
        <v>5.4859907104176028E-2</v>
      </c>
    </row>
    <row r="266" spans="1:1">
      <c r="A266" s="30">
        <f>(Posts!F266+Posts!G266+Posts!H266)/Posts!I266</f>
        <v>9.0752980172121162E-2</v>
      </c>
    </row>
    <row r="267" spans="1:1">
      <c r="A267" s="30">
        <f>(Posts!F267+Posts!G267+Posts!H267)/Posts!I267</f>
        <v>0.11695224773672146</v>
      </c>
    </row>
    <row r="268" spans="1:1">
      <c r="A268" s="30">
        <f>(Posts!F268+Posts!G268+Posts!H268)/Posts!I268</f>
        <v>6.1279893894806647E-2</v>
      </c>
    </row>
    <row r="269" spans="1:1">
      <c r="A269" s="30">
        <f>(Posts!F269+Posts!G269+Posts!H269)/Posts!I269</f>
        <v>7.3202671439172376E-2</v>
      </c>
    </row>
    <row r="270" spans="1:1">
      <c r="A270" s="30">
        <f>(Posts!F270+Posts!G270+Posts!H270)/Posts!I270</f>
        <v>9.2893873181347508E-2</v>
      </c>
    </row>
    <row r="271" spans="1:1">
      <c r="A271" s="30">
        <f>(Posts!F271+Posts!G271+Posts!H271)/Posts!I271</f>
        <v>3.3603177027646251E-2</v>
      </c>
    </row>
    <row r="272" spans="1:1">
      <c r="A272" s="30">
        <f>(Posts!F272+Posts!G272+Posts!H272)/Posts!I272</f>
        <v>0.14843585975225698</v>
      </c>
    </row>
    <row r="273" spans="1:1">
      <c r="A273" s="30">
        <f>(Posts!F273+Posts!G273+Posts!H273)/Posts!I273</f>
        <v>5.1861351697967357E-2</v>
      </c>
    </row>
    <row r="274" spans="1:1">
      <c r="A274" s="30">
        <f>(Posts!F274+Posts!G274+Posts!H274)/Posts!I274</f>
        <v>6.6160796354604659E-2</v>
      </c>
    </row>
    <row r="275" spans="1:1">
      <c r="A275" s="30">
        <f>(Posts!F275+Posts!G275+Posts!H275)/Posts!I275</f>
        <v>5.4638246772740921E-2</v>
      </c>
    </row>
    <row r="276" spans="1:1">
      <c r="A276" s="30">
        <f>(Posts!F276+Posts!G276+Posts!H276)/Posts!I276</f>
        <v>9.4139757389372969E-2</v>
      </c>
    </row>
    <row r="277" spans="1:1">
      <c r="A277" s="30">
        <f>(Posts!F277+Posts!G277+Posts!H277)/Posts!I277</f>
        <v>5.7682545054573146E-2</v>
      </c>
    </row>
    <row r="278" spans="1:1">
      <c r="A278" s="30">
        <f>(Posts!F278+Posts!G278+Posts!H278)/Posts!I278</f>
        <v>8.3972409065592737E-2</v>
      </c>
    </row>
    <row r="279" spans="1:1">
      <c r="A279" s="30">
        <f>(Posts!F279+Posts!G279+Posts!H279)/Posts!I279</f>
        <v>6.6186514342481059E-2</v>
      </c>
    </row>
    <row r="280" spans="1:1">
      <c r="A280" s="30">
        <f>(Posts!F280+Posts!G280+Posts!H280)/Posts!I280</f>
        <v>0.20445859872611466</v>
      </c>
    </row>
    <row r="281" spans="1:1">
      <c r="A281" s="30">
        <f>(Posts!F281+Posts!G281+Posts!H281)/Posts!I281</f>
        <v>0.1122776514644911</v>
      </c>
    </row>
    <row r="282" spans="1:1">
      <c r="A282" s="30">
        <f>(Posts!F282+Posts!G282+Posts!H282)/Posts!I282</f>
        <v>9.8640235621946709E-2</v>
      </c>
    </row>
    <row r="283" spans="1:1">
      <c r="A283" s="30">
        <f>(Posts!F283+Posts!G283+Posts!H283)/Posts!I283</f>
        <v>5.4576862557296296E-2</v>
      </c>
    </row>
    <row r="284" spans="1:1">
      <c r="A284" s="30">
        <f>(Posts!F284+Posts!G284+Posts!H284)/Posts!I284</f>
        <v>8.628318584070796E-2</v>
      </c>
    </row>
    <row r="285" spans="1:1">
      <c r="A285" s="30">
        <f>(Posts!F285+Posts!G285+Posts!H285)/Posts!I285</f>
        <v>8.4056399132321047E-2</v>
      </c>
    </row>
    <row r="286" spans="1:1">
      <c r="A286" s="30">
        <f>(Posts!F286+Posts!G286+Posts!H286)/Posts!I286</f>
        <v>3.4229485151994379E-2</v>
      </c>
    </row>
    <row r="287" spans="1:1">
      <c r="A287" s="30">
        <f>(Posts!F287+Posts!G287+Posts!H287)/Posts!I287</f>
        <v>0.11467469950680724</v>
      </c>
    </row>
    <row r="288" spans="1:1">
      <c r="A288" s="30">
        <f>(Posts!F288+Posts!G288+Posts!H288)/Posts!I288</f>
        <v>8.4548582664263475E-2</v>
      </c>
    </row>
    <row r="289" spans="1:1">
      <c r="A289" s="30">
        <f>(Posts!F289+Posts!G289+Posts!H289)/Posts!I289</f>
        <v>0.10546200140489435</v>
      </c>
    </row>
    <row r="290" spans="1:1">
      <c r="A290" s="30">
        <f>(Posts!F290+Posts!G290+Posts!H290)/Posts!I290</f>
        <v>0.10338095327488783</v>
      </c>
    </row>
    <row r="291" spans="1:1">
      <c r="A291" s="30">
        <f>(Posts!F291+Posts!G291+Posts!H291)/Posts!I291</f>
        <v>0.1565595352530614</v>
      </c>
    </row>
    <row r="292" spans="1:1">
      <c r="A292" s="30">
        <f>(Posts!F292+Posts!G292+Posts!H292)/Posts!I292</f>
        <v>5.8052595393606049E-2</v>
      </c>
    </row>
    <row r="293" spans="1:1">
      <c r="A293" s="30">
        <f>(Posts!F293+Posts!G293+Posts!H293)/Posts!I293</f>
        <v>0.12976726726726726</v>
      </c>
    </row>
    <row r="294" spans="1:1">
      <c r="A294" s="30">
        <f>(Posts!F294+Posts!G294+Posts!H294)/Posts!I294</f>
        <v>4.4999031758326875E-2</v>
      </c>
    </row>
    <row r="295" spans="1:1">
      <c r="A295" s="30">
        <f>(Posts!F295+Posts!G295+Posts!H295)/Posts!I295</f>
        <v>3.221173574066475E-2</v>
      </c>
    </row>
    <row r="296" spans="1:1">
      <c r="A296" s="30">
        <f>(Posts!F296+Posts!G296+Posts!H296)/Posts!I296</f>
        <v>0.1109777812185492</v>
      </c>
    </row>
    <row r="297" spans="1:1">
      <c r="A297" s="30">
        <f>(Posts!F297+Posts!G297+Posts!H297)/Posts!I297</f>
        <v>0.1191007493755204</v>
      </c>
    </row>
    <row r="298" spans="1:1">
      <c r="A298" s="30">
        <f>(Posts!F298+Posts!G298+Posts!H298)/Posts!I298</f>
        <v>5.9775576027966085E-2</v>
      </c>
    </row>
    <row r="299" spans="1:1">
      <c r="A299" s="30">
        <f>(Posts!F299+Posts!G299+Posts!H299)/Posts!I299</f>
        <v>6.1064362065044349E-2</v>
      </c>
    </row>
    <row r="300" spans="1:1">
      <c r="A300" s="30">
        <f>(Posts!F300+Posts!G300+Posts!H300)/Posts!I300</f>
        <v>5.5797564422760453E-2</v>
      </c>
    </row>
    <row r="301" spans="1:1">
      <c r="A301" s="30">
        <f>(Posts!F301+Posts!G301+Posts!H301)/Posts!I301</f>
        <v>9.4300914496331587E-2</v>
      </c>
    </row>
  </sheetData>
  <mergeCells count="7">
    <mergeCell ref="C13:E15"/>
    <mergeCell ref="N7:O8"/>
    <mergeCell ref="N10:O11"/>
    <mergeCell ref="H12:L12"/>
    <mergeCell ref="C1:E1"/>
    <mergeCell ref="H10:L10"/>
    <mergeCell ref="N1:O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2029-8504-4E7D-AA1A-039E5CAC266C}">
  <dimension ref="A1:T1000"/>
  <sheetViews>
    <sheetView topLeftCell="L1" zoomScale="80" zoomScaleNormal="80" workbookViewId="0">
      <pane ySplit="1" topLeftCell="A2" activePane="bottomLeft" state="frozen"/>
      <selection activeCell="G1" sqref="G1"/>
      <selection pane="bottomLeft" activeCell="T2" sqref="T2"/>
    </sheetView>
  </sheetViews>
  <sheetFormatPr defaultRowHeight="14.4"/>
  <cols>
    <col min="1" max="1" width="23" style="9" customWidth="1"/>
    <col min="2" max="2" width="30.88671875" style="65" bestFit="1" customWidth="1"/>
    <col min="3" max="3" width="21.33203125" style="31" customWidth="1"/>
    <col min="4" max="4" width="37.5546875" style="31" bestFit="1" customWidth="1"/>
    <col min="5" max="5" width="7.5546875" style="31" customWidth="1"/>
    <col min="6" max="6" width="23.33203125" style="31" customWidth="1"/>
    <col min="7" max="7" width="33.88671875" style="31" customWidth="1"/>
    <col min="8" max="8" width="5.33203125" style="31" customWidth="1"/>
    <col min="9" max="9" width="17.6640625" style="9" bestFit="1" customWidth="1"/>
    <col min="10" max="10" width="15" style="33" customWidth="1"/>
    <col min="11" max="11" width="22.77734375" style="35" customWidth="1"/>
    <col min="12" max="12" width="9.5546875" style="35" customWidth="1"/>
    <col min="13" max="13" width="15.109375" style="34" customWidth="1"/>
    <col min="14" max="14" width="11.21875" style="30" customWidth="1"/>
    <col min="15" max="15" width="70.109375" style="31" customWidth="1"/>
    <col min="16" max="16" width="8.88671875" style="31"/>
    <col min="17" max="17" width="30.5546875" style="57" customWidth="1"/>
    <col min="18" max="18" width="33.5546875" style="57" customWidth="1"/>
    <col min="19" max="19" width="30" style="31" bestFit="1" customWidth="1"/>
    <col min="20" max="20" width="26.33203125" style="31" bestFit="1" customWidth="1"/>
    <col min="21" max="16384" width="8.88671875" style="31"/>
  </cols>
  <sheetData>
    <row r="1" spans="1:20" s="168" customFormat="1" ht="28.8">
      <c r="A1" s="166" t="s">
        <v>12</v>
      </c>
      <c r="B1" s="167" t="s">
        <v>418</v>
      </c>
      <c r="C1" s="168" t="s">
        <v>420</v>
      </c>
      <c r="D1" s="168" t="s">
        <v>419</v>
      </c>
      <c r="F1" s="169" t="s">
        <v>420</v>
      </c>
      <c r="G1" s="160" t="s">
        <v>421</v>
      </c>
      <c r="H1" s="167"/>
      <c r="I1" s="170" t="s">
        <v>12</v>
      </c>
      <c r="J1" s="171" t="s">
        <v>1</v>
      </c>
      <c r="K1" s="172" t="s">
        <v>434</v>
      </c>
      <c r="L1" s="172" t="s">
        <v>478</v>
      </c>
      <c r="M1" s="173" t="s">
        <v>336</v>
      </c>
      <c r="N1" s="174" t="s">
        <v>433</v>
      </c>
      <c r="O1" s="167" t="s">
        <v>496</v>
      </c>
      <c r="Q1" s="160" t="s">
        <v>446</v>
      </c>
      <c r="R1" s="162" t="s">
        <v>447</v>
      </c>
      <c r="S1" s="160" t="s">
        <v>439</v>
      </c>
      <c r="T1" s="160" t="s">
        <v>440</v>
      </c>
    </row>
    <row r="2" spans="1:20" ht="15" thickBot="1">
      <c r="A2" s="14" t="s">
        <v>17</v>
      </c>
      <c r="B2" s="68">
        <f>(Posts!F2+Posts!I2+Posts!K2)</f>
        <v>23728</v>
      </c>
      <c r="C2" s="55" t="s">
        <v>17</v>
      </c>
      <c r="D2" s="175">
        <v>6831610</v>
      </c>
      <c r="E2" s="53"/>
      <c r="F2" s="73" t="s">
        <v>17</v>
      </c>
      <c r="G2" s="71">
        <f>AVERAGEIF(A2:A301,"ChillVibes",B2:B301)</f>
        <v>44361.103896103894</v>
      </c>
      <c r="H2" s="68"/>
      <c r="I2" s="69" t="s">
        <v>17</v>
      </c>
      <c r="J2" s="27" t="s">
        <v>14</v>
      </c>
      <c r="K2" s="29">
        <v>9.92</v>
      </c>
      <c r="L2" s="104">
        <f>K2*100</f>
        <v>992</v>
      </c>
      <c r="M2" s="28">
        <v>23125</v>
      </c>
      <c r="N2" s="30">
        <f>L2/M2</f>
        <v>4.2897297297297299E-2</v>
      </c>
      <c r="O2" s="160" t="str">
        <f>INDEX(I2:I301, MATCH(MAX(N2:N201), N2:N201, 0 ))</f>
        <v>ChillVibes</v>
      </c>
      <c r="Q2" s="134">
        <f>MAX('Engagement Summary'!H2:H201)</f>
        <v>1.7836234485988603E-2</v>
      </c>
      <c r="R2" s="161">
        <f>MAX('Engagement Summary'!I2:I201)</f>
        <v>1397</v>
      </c>
      <c r="S2" s="144">
        <f>INDEX('Engagement Summary'!A2:A201,MATCH(MAX('Engagement Summary'!E2:E201),'Engagement Summary'!E2:E201,0))</f>
        <v>45740</v>
      </c>
      <c r="T2" s="150" t="s">
        <v>21</v>
      </c>
    </row>
    <row r="3" spans="1:20" ht="15" thickBot="1">
      <c r="A3" s="15" t="s">
        <v>21</v>
      </c>
      <c r="B3" s="68">
        <f>(Posts!F3+Posts!I3+Posts!K3)</f>
        <v>31336</v>
      </c>
      <c r="C3" s="55" t="s">
        <v>21</v>
      </c>
      <c r="D3" s="175">
        <v>4332477</v>
      </c>
      <c r="E3" s="53"/>
      <c r="F3" s="73" t="s">
        <v>21</v>
      </c>
      <c r="G3" s="71">
        <f>AVERAGEIF(A2:A301,"IndieWave",B2:B301)</f>
        <v>46090.180851063829</v>
      </c>
      <c r="H3" s="68"/>
      <c r="I3" s="69" t="s">
        <v>21</v>
      </c>
      <c r="J3" s="27" t="s">
        <v>23</v>
      </c>
      <c r="K3" s="29">
        <v>8.0500000000000007</v>
      </c>
      <c r="L3" s="104">
        <f t="shared" ref="L3:L66" si="0">K3*100</f>
        <v>805.00000000000011</v>
      </c>
      <c r="M3" s="28">
        <v>22788</v>
      </c>
      <c r="N3" s="30">
        <f t="shared" ref="N3:N66" si="1">L3/M3</f>
        <v>3.5325609970159738E-2</v>
      </c>
      <c r="Q3" s="100"/>
      <c r="R3" s="100"/>
    </row>
    <row r="4" spans="1:20" ht="15" thickBot="1">
      <c r="A4" s="15" t="s">
        <v>17</v>
      </c>
      <c r="B4" s="68">
        <f>(Posts!F4+Posts!I4+Posts!K4)</f>
        <v>50746</v>
      </c>
      <c r="C4" s="55" t="s">
        <v>50</v>
      </c>
      <c r="D4" s="175">
        <v>1329281</v>
      </c>
      <c r="E4" s="53"/>
      <c r="F4" s="73" t="s">
        <v>47</v>
      </c>
      <c r="G4" s="71">
        <f>AVERAGEIF(A2:A301,"Wrapped2024",B2:B301)</f>
        <v>40514.565217391304</v>
      </c>
      <c r="H4" s="68"/>
      <c r="I4" s="69" t="s">
        <v>17</v>
      </c>
      <c r="J4" s="27" t="s">
        <v>28</v>
      </c>
      <c r="K4" s="29">
        <v>7.72</v>
      </c>
      <c r="L4" s="104">
        <f t="shared" si="0"/>
        <v>772</v>
      </c>
      <c r="M4" s="28">
        <v>7810</v>
      </c>
      <c r="N4" s="30">
        <f t="shared" si="1"/>
        <v>9.8847631241997441E-2</v>
      </c>
      <c r="O4" s="233" t="s">
        <v>470</v>
      </c>
      <c r="Q4" s="232" t="s">
        <v>441</v>
      </c>
      <c r="R4" s="232"/>
      <c r="S4" s="232"/>
      <c r="T4" s="232"/>
    </row>
    <row r="5" spans="1:20" ht="15" thickBot="1">
      <c r="A5" s="15" t="s">
        <v>17</v>
      </c>
      <c r="B5" s="68">
        <f>(Posts!F5+Posts!I5+Posts!K5)</f>
        <v>33049</v>
      </c>
      <c r="C5" s="55" t="s">
        <v>47</v>
      </c>
      <c r="D5" s="175">
        <v>931835</v>
      </c>
      <c r="E5" s="53"/>
      <c r="F5" s="73" t="s">
        <v>21</v>
      </c>
      <c r="G5" s="71" t="b">
        <f>F10:G10=AVERAGEIF(A2:A301,"IndieWave",B2:B301)</f>
        <v>0</v>
      </c>
      <c r="H5" s="68"/>
      <c r="I5" s="69" t="s">
        <v>17</v>
      </c>
      <c r="J5" s="27" t="s">
        <v>14</v>
      </c>
      <c r="K5" s="29">
        <v>9.4</v>
      </c>
      <c r="L5" s="104">
        <f t="shared" si="0"/>
        <v>940</v>
      </c>
      <c r="M5" s="28">
        <v>11966</v>
      </c>
      <c r="N5" s="30">
        <f t="shared" si="1"/>
        <v>7.8555908407153596E-2</v>
      </c>
      <c r="O5" s="233"/>
      <c r="Q5" s="232"/>
      <c r="R5" s="232"/>
      <c r="S5" s="232"/>
      <c r="T5" s="232"/>
    </row>
    <row r="6" spans="1:20" ht="15" thickBot="1">
      <c r="A6" s="15" t="s">
        <v>21</v>
      </c>
      <c r="B6" s="68">
        <f>(Posts!F6+Posts!I6+Posts!K6)</f>
        <v>27349</v>
      </c>
      <c r="C6" s="31" t="s">
        <v>360</v>
      </c>
      <c r="D6" s="34">
        <v>13425203</v>
      </c>
      <c r="E6" s="53"/>
      <c r="F6" s="74" t="s">
        <v>396</v>
      </c>
      <c r="G6" s="72">
        <f>SUM(G2+G3+G4+G5)</f>
        <v>130965.84996455902</v>
      </c>
      <c r="H6" s="111"/>
      <c r="I6" s="69" t="s">
        <v>21</v>
      </c>
      <c r="J6" s="27" t="s">
        <v>23</v>
      </c>
      <c r="K6" s="29">
        <v>9.02</v>
      </c>
      <c r="L6" s="104">
        <f t="shared" si="0"/>
        <v>902</v>
      </c>
      <c r="M6" s="28">
        <v>26298</v>
      </c>
      <c r="N6" s="30">
        <f t="shared" si="1"/>
        <v>3.4299186249904932E-2</v>
      </c>
      <c r="Q6" s="232"/>
      <c r="R6" s="232"/>
      <c r="S6" s="232"/>
      <c r="T6" s="232"/>
    </row>
    <row r="7" spans="1:20" ht="15" thickBot="1">
      <c r="A7" s="15" t="s">
        <v>21</v>
      </c>
      <c r="B7" s="68">
        <f>(Posts!F7+Posts!I7+Posts!K7)</f>
        <v>62779</v>
      </c>
      <c r="D7" s="53"/>
      <c r="E7" s="53"/>
      <c r="I7" s="69" t="s">
        <v>21</v>
      </c>
      <c r="J7" s="27" t="s">
        <v>28</v>
      </c>
      <c r="K7" s="29">
        <v>9.9600000000000009</v>
      </c>
      <c r="L7" s="104">
        <f t="shared" si="0"/>
        <v>996.00000000000011</v>
      </c>
      <c r="M7" s="28">
        <v>22029</v>
      </c>
      <c r="N7" s="30">
        <f t="shared" si="1"/>
        <v>4.5213128149257799E-2</v>
      </c>
      <c r="Q7" s="232"/>
      <c r="R7" s="232"/>
      <c r="S7" s="232"/>
      <c r="T7" s="232"/>
    </row>
    <row r="8" spans="1:20" ht="15" customHeight="1" thickBot="1">
      <c r="A8" s="15" t="s">
        <v>17</v>
      </c>
      <c r="B8" s="68">
        <f>(Posts!F8+Posts!I8+Posts!K8)</f>
        <v>25642</v>
      </c>
      <c r="C8" s="230" t="s">
        <v>464</v>
      </c>
      <c r="D8" s="230"/>
      <c r="E8" s="163"/>
      <c r="F8" s="231" t="s">
        <v>465</v>
      </c>
      <c r="G8" s="231"/>
      <c r="H8" s="112"/>
      <c r="I8" s="69" t="s">
        <v>17</v>
      </c>
      <c r="J8" s="27" t="s">
        <v>14</v>
      </c>
      <c r="K8" s="29">
        <v>5.29</v>
      </c>
      <c r="L8" s="104">
        <f t="shared" si="0"/>
        <v>529</v>
      </c>
      <c r="M8" s="28">
        <v>12391</v>
      </c>
      <c r="N8" s="30">
        <f t="shared" si="1"/>
        <v>4.269227665240901E-2</v>
      </c>
      <c r="Q8" s="235" t="s">
        <v>471</v>
      </c>
      <c r="R8" s="233" t="s">
        <v>472</v>
      </c>
      <c r="S8" s="233"/>
      <c r="T8" s="233"/>
    </row>
    <row r="9" spans="1:20" ht="15" thickBot="1">
      <c r="A9" s="15" t="s">
        <v>17</v>
      </c>
      <c r="B9" s="68">
        <f>(Posts!F9+Posts!I9+Posts!K9)</f>
        <v>22696</v>
      </c>
      <c r="C9" s="230"/>
      <c r="D9" s="230"/>
      <c r="E9" s="163"/>
      <c r="F9" s="231"/>
      <c r="G9" s="231"/>
      <c r="H9" s="112"/>
      <c r="I9" s="69" t="s">
        <v>17</v>
      </c>
      <c r="J9" s="27" t="s">
        <v>23</v>
      </c>
      <c r="K9" s="29">
        <v>8.3000000000000007</v>
      </c>
      <c r="L9" s="104">
        <f t="shared" si="0"/>
        <v>830.00000000000011</v>
      </c>
      <c r="M9" s="28">
        <v>14477</v>
      </c>
      <c r="N9" s="30">
        <f t="shared" si="1"/>
        <v>5.7332320232092289E-2</v>
      </c>
      <c r="Q9" s="235"/>
      <c r="R9" s="233"/>
      <c r="S9" s="233"/>
      <c r="T9" s="233"/>
    </row>
    <row r="10" spans="1:20" ht="15" customHeight="1" thickBot="1">
      <c r="A10" s="15" t="s">
        <v>17</v>
      </c>
      <c r="B10" s="68">
        <f>(Posts!F10+Posts!I10+Posts!K10)</f>
        <v>63619</v>
      </c>
      <c r="C10" s="234" t="s">
        <v>469</v>
      </c>
      <c r="D10" s="234"/>
      <c r="F10" s="233" t="s">
        <v>468</v>
      </c>
      <c r="G10" s="233"/>
      <c r="I10" s="69" t="s">
        <v>17</v>
      </c>
      <c r="J10" s="27" t="s">
        <v>28</v>
      </c>
      <c r="K10" s="29">
        <v>4.66</v>
      </c>
      <c r="L10" s="104">
        <f t="shared" si="0"/>
        <v>466</v>
      </c>
      <c r="M10" s="28">
        <v>25040</v>
      </c>
      <c r="N10" s="30">
        <f t="shared" si="1"/>
        <v>1.8610223642172526E-2</v>
      </c>
      <c r="Q10" s="235"/>
      <c r="R10" s="233"/>
      <c r="S10" s="233"/>
      <c r="T10" s="233"/>
    </row>
    <row r="11" spans="1:20" ht="15" thickBot="1">
      <c r="A11" s="15" t="s">
        <v>17</v>
      </c>
      <c r="B11" s="68">
        <f>(Posts!F11+Posts!I11+Posts!K11)</f>
        <v>24207</v>
      </c>
      <c r="F11" s="233"/>
      <c r="G11" s="233"/>
      <c r="I11" s="69" t="s">
        <v>17</v>
      </c>
      <c r="J11" s="27" t="s">
        <v>14</v>
      </c>
      <c r="K11" s="29">
        <v>9.48</v>
      </c>
      <c r="L11" s="104">
        <f t="shared" si="0"/>
        <v>948</v>
      </c>
      <c r="M11" s="28">
        <v>22619</v>
      </c>
      <c r="N11" s="30">
        <f t="shared" si="1"/>
        <v>4.191166718245723E-2</v>
      </c>
      <c r="Q11" s="176"/>
      <c r="R11" s="100"/>
    </row>
    <row r="12" spans="1:20" ht="15" thickBot="1">
      <c r="A12" s="15" t="s">
        <v>21</v>
      </c>
      <c r="B12" s="68">
        <f>(Posts!F12+Posts!I12+Posts!K12)</f>
        <v>33375</v>
      </c>
      <c r="I12" s="69" t="s">
        <v>21</v>
      </c>
      <c r="J12" s="27" t="s">
        <v>23</v>
      </c>
      <c r="K12" s="29">
        <v>7.11</v>
      </c>
      <c r="L12" s="104">
        <f t="shared" si="0"/>
        <v>711</v>
      </c>
      <c r="M12" s="28">
        <v>12399</v>
      </c>
      <c r="N12" s="30">
        <f t="shared" si="1"/>
        <v>5.7343334139849989E-2</v>
      </c>
      <c r="Q12" s="100"/>
      <c r="R12" s="100"/>
    </row>
    <row r="13" spans="1:20" ht="15" thickBot="1">
      <c r="A13" s="15" t="s">
        <v>17</v>
      </c>
      <c r="B13" s="68">
        <f>(Posts!F13+Posts!I13+Posts!K13)</f>
        <v>39990</v>
      </c>
      <c r="I13" s="69" t="s">
        <v>17</v>
      </c>
      <c r="J13" s="27" t="s">
        <v>28</v>
      </c>
      <c r="K13" s="29">
        <v>9.65</v>
      </c>
      <c r="L13" s="104">
        <f t="shared" si="0"/>
        <v>965</v>
      </c>
      <c r="M13" s="28">
        <v>22456</v>
      </c>
      <c r="N13" s="30">
        <f t="shared" si="1"/>
        <v>4.297292483078019E-2</v>
      </c>
      <c r="Q13" s="100"/>
      <c r="R13" s="100"/>
    </row>
    <row r="14" spans="1:20" ht="15" thickBot="1">
      <c r="A14" s="15" t="s">
        <v>17</v>
      </c>
      <c r="B14" s="68">
        <f>(Posts!F14+Posts!I14+Posts!K14)</f>
        <v>62331</v>
      </c>
      <c r="I14" s="69" t="s">
        <v>17</v>
      </c>
      <c r="J14" s="27" t="s">
        <v>14</v>
      </c>
      <c r="K14" s="29">
        <v>5.43</v>
      </c>
      <c r="L14" s="104">
        <f t="shared" si="0"/>
        <v>543</v>
      </c>
      <c r="M14" s="28">
        <v>19328</v>
      </c>
      <c r="N14" s="30">
        <f t="shared" si="1"/>
        <v>2.8093956953642384E-2</v>
      </c>
      <c r="Q14" s="100"/>
      <c r="R14" s="100"/>
    </row>
    <row r="15" spans="1:20" ht="15" thickBot="1">
      <c r="A15" s="15" t="s">
        <v>17</v>
      </c>
      <c r="B15" s="68">
        <f>(Posts!F15+Posts!I15+Posts!K15)</f>
        <v>39426</v>
      </c>
      <c r="I15" s="69" t="s">
        <v>17</v>
      </c>
      <c r="J15" s="27" t="s">
        <v>23</v>
      </c>
      <c r="K15" s="29">
        <v>4.5199999999999996</v>
      </c>
      <c r="L15" s="104">
        <f t="shared" si="0"/>
        <v>451.99999999999994</v>
      </c>
      <c r="M15" s="28">
        <v>21107</v>
      </c>
      <c r="N15" s="30">
        <f t="shared" si="1"/>
        <v>2.1414696546169513E-2</v>
      </c>
      <c r="Q15" s="100"/>
      <c r="R15" s="100"/>
    </row>
    <row r="16" spans="1:20" ht="15" thickBot="1">
      <c r="A16" s="15" t="s">
        <v>17</v>
      </c>
      <c r="B16" s="68">
        <f>(Posts!F16+Posts!I16+Posts!K16)</f>
        <v>41147</v>
      </c>
      <c r="I16" s="69" t="s">
        <v>17</v>
      </c>
      <c r="J16" s="27" t="s">
        <v>28</v>
      </c>
      <c r="K16" s="29">
        <v>4.33</v>
      </c>
      <c r="L16" s="104">
        <f t="shared" si="0"/>
        <v>433</v>
      </c>
      <c r="M16" s="28">
        <v>12277</v>
      </c>
      <c r="N16" s="30">
        <f t="shared" si="1"/>
        <v>3.5269202573918711E-2</v>
      </c>
      <c r="Q16" s="100"/>
      <c r="R16" s="100"/>
    </row>
    <row r="17" spans="1:20" ht="15" thickBot="1">
      <c r="A17" s="15" t="s">
        <v>17</v>
      </c>
      <c r="B17" s="68">
        <f>(Posts!F17+Posts!I17+Posts!K17)</f>
        <v>52403</v>
      </c>
      <c r="I17" s="69" t="s">
        <v>17</v>
      </c>
      <c r="J17" s="27" t="s">
        <v>14</v>
      </c>
      <c r="K17" s="29">
        <v>8.52</v>
      </c>
      <c r="L17" s="104">
        <f t="shared" si="0"/>
        <v>852</v>
      </c>
      <c r="M17" s="28">
        <v>11684</v>
      </c>
      <c r="N17" s="30">
        <f t="shared" si="1"/>
        <v>7.2920232796987339E-2</v>
      </c>
      <c r="Q17" s="100"/>
      <c r="R17" s="100"/>
    </row>
    <row r="18" spans="1:20" ht="15" thickBot="1">
      <c r="A18" s="15" t="s">
        <v>17</v>
      </c>
      <c r="B18" s="68">
        <f>(Posts!F18+Posts!I18+Posts!K18)</f>
        <v>42961</v>
      </c>
      <c r="I18" s="69" t="s">
        <v>17</v>
      </c>
      <c r="J18" s="27" t="s">
        <v>23</v>
      </c>
      <c r="K18" s="29">
        <v>8.5500000000000007</v>
      </c>
      <c r="L18" s="104">
        <f t="shared" si="0"/>
        <v>855.00000000000011</v>
      </c>
      <c r="M18" s="28">
        <v>14412</v>
      </c>
      <c r="N18" s="30">
        <f t="shared" si="1"/>
        <v>5.9325562031640307E-2</v>
      </c>
      <c r="Q18" s="100"/>
      <c r="R18" s="100"/>
    </row>
    <row r="19" spans="1:20" ht="15" thickBot="1">
      <c r="A19" s="15" t="s">
        <v>47</v>
      </c>
      <c r="B19" s="68">
        <f>(Posts!F19+Posts!I19+Posts!K19)</f>
        <v>36794</v>
      </c>
      <c r="I19" s="69" t="s">
        <v>47</v>
      </c>
      <c r="J19" s="27" t="s">
        <v>28</v>
      </c>
      <c r="K19" s="29">
        <v>7.99</v>
      </c>
      <c r="L19" s="104">
        <f t="shared" si="0"/>
        <v>799</v>
      </c>
      <c r="M19" s="28">
        <v>15924</v>
      </c>
      <c r="N19" s="30">
        <f t="shared" si="1"/>
        <v>5.017583521728209E-2</v>
      </c>
      <c r="Q19" s="100"/>
      <c r="R19" s="100"/>
    </row>
    <row r="20" spans="1:20" ht="15" thickBot="1">
      <c r="A20" s="15" t="s">
        <v>50</v>
      </c>
      <c r="B20" s="68">
        <f>(Posts!F20+Posts!I20+Posts!K20)</f>
        <v>33672</v>
      </c>
      <c r="I20" s="69" t="s">
        <v>50</v>
      </c>
      <c r="J20" s="27" t="s">
        <v>14</v>
      </c>
      <c r="K20" s="29">
        <v>6.31</v>
      </c>
      <c r="L20" s="104">
        <f t="shared" si="0"/>
        <v>631</v>
      </c>
      <c r="M20" s="28">
        <v>12390</v>
      </c>
      <c r="N20" s="30">
        <f t="shared" si="1"/>
        <v>5.0928167877320421E-2</v>
      </c>
      <c r="Q20" s="100"/>
      <c r="R20" s="100"/>
    </row>
    <row r="21" spans="1:20" ht="15" thickBot="1">
      <c r="A21" s="15" t="s">
        <v>21</v>
      </c>
      <c r="B21" s="68">
        <f>(Posts!F21+Posts!I21+Posts!K21)</f>
        <v>32981</v>
      </c>
      <c r="I21" s="69" t="s">
        <v>21</v>
      </c>
      <c r="J21" s="27" t="s">
        <v>23</v>
      </c>
      <c r="K21" s="29">
        <v>8.5299999999999994</v>
      </c>
      <c r="L21" s="104">
        <f t="shared" si="0"/>
        <v>852.99999999999989</v>
      </c>
      <c r="M21" s="28">
        <v>25742</v>
      </c>
      <c r="N21" s="30">
        <f t="shared" si="1"/>
        <v>3.3136508429803431E-2</v>
      </c>
      <c r="Q21" s="100"/>
      <c r="R21" s="100"/>
    </row>
    <row r="22" spans="1:20" ht="15" thickBot="1">
      <c r="A22" s="15" t="s">
        <v>47</v>
      </c>
      <c r="B22" s="68">
        <f>(Posts!F22+Posts!I22+Posts!K22)</f>
        <v>57576</v>
      </c>
      <c r="I22" s="69" t="s">
        <v>47</v>
      </c>
      <c r="J22" s="27" t="s">
        <v>28</v>
      </c>
      <c r="K22" s="29">
        <v>8.42</v>
      </c>
      <c r="L22" s="104">
        <f t="shared" si="0"/>
        <v>842</v>
      </c>
      <c r="M22" s="28">
        <v>10495</v>
      </c>
      <c r="N22" s="30">
        <f t="shared" si="1"/>
        <v>8.0228680323963797E-2</v>
      </c>
      <c r="Q22" s="100"/>
      <c r="R22" s="100"/>
    </row>
    <row r="23" spans="1:20" ht="15" thickBot="1">
      <c r="A23" s="15" t="s">
        <v>17</v>
      </c>
      <c r="B23" s="68">
        <f>(Posts!F23+Posts!I23+Posts!K23)</f>
        <v>33601</v>
      </c>
      <c r="I23" s="69" t="s">
        <v>17</v>
      </c>
      <c r="J23" s="27" t="s">
        <v>14</v>
      </c>
      <c r="K23" s="29">
        <v>9.34</v>
      </c>
      <c r="L23" s="104">
        <f t="shared" si="0"/>
        <v>934</v>
      </c>
      <c r="M23" s="28">
        <v>7797</v>
      </c>
      <c r="N23" s="30">
        <f t="shared" si="1"/>
        <v>0.11978966269077851</v>
      </c>
      <c r="Q23" s="100"/>
      <c r="R23" s="100"/>
    </row>
    <row r="24" spans="1:20" ht="15" thickBot="1">
      <c r="A24" s="15" t="s">
        <v>50</v>
      </c>
      <c r="B24" s="68">
        <f>(Posts!F24+Posts!I24+Posts!K24)</f>
        <v>44889</v>
      </c>
      <c r="I24" s="69" t="s">
        <v>50</v>
      </c>
      <c r="J24" s="27" t="s">
        <v>23</v>
      </c>
      <c r="K24" s="29">
        <v>5.65</v>
      </c>
      <c r="L24" s="104">
        <f t="shared" si="0"/>
        <v>565</v>
      </c>
      <c r="M24" s="28">
        <v>15595</v>
      </c>
      <c r="N24" s="30">
        <f t="shared" si="1"/>
        <v>3.6229560756652776E-2</v>
      </c>
      <c r="Q24" s="100"/>
      <c r="R24" s="100"/>
    </row>
    <row r="25" spans="1:20" ht="18.600000000000001" thickBot="1">
      <c r="A25" s="15" t="s">
        <v>21</v>
      </c>
      <c r="B25" s="68">
        <f>(Posts!F25+Posts!I25+Posts!K25)</f>
        <v>31493</v>
      </c>
      <c r="I25" s="69" t="s">
        <v>21</v>
      </c>
      <c r="J25" s="27" t="s">
        <v>28</v>
      </c>
      <c r="K25" s="29">
        <v>4.2</v>
      </c>
      <c r="L25" s="104">
        <f t="shared" si="0"/>
        <v>420</v>
      </c>
      <c r="M25" s="28">
        <v>24617</v>
      </c>
      <c r="N25" s="30">
        <f t="shared" si="1"/>
        <v>1.7061380346914734E-2</v>
      </c>
      <c r="Q25" s="100"/>
      <c r="R25" s="100"/>
      <c r="T25" s="86"/>
    </row>
    <row r="26" spans="1:20" ht="18.600000000000001" thickBot="1">
      <c r="A26" s="15" t="s">
        <v>50</v>
      </c>
      <c r="B26" s="68">
        <f>(Posts!F26+Posts!I26+Posts!K26)</f>
        <v>58850</v>
      </c>
      <c r="I26" s="69" t="s">
        <v>50</v>
      </c>
      <c r="J26" s="27" t="s">
        <v>14</v>
      </c>
      <c r="K26" s="29">
        <v>3.87</v>
      </c>
      <c r="L26" s="104">
        <f t="shared" si="0"/>
        <v>387</v>
      </c>
      <c r="M26" s="28">
        <v>9847</v>
      </c>
      <c r="N26" s="30">
        <f t="shared" si="1"/>
        <v>3.9301310043668124E-2</v>
      </c>
      <c r="Q26" s="100"/>
      <c r="R26" s="100"/>
      <c r="T26" s="86"/>
    </row>
    <row r="27" spans="1:20" ht="15" thickBot="1">
      <c r="A27" s="15" t="s">
        <v>17</v>
      </c>
      <c r="B27" s="68">
        <f>(Posts!F27+Posts!I27+Posts!K27)</f>
        <v>58156</v>
      </c>
      <c r="I27" s="69" t="s">
        <v>17</v>
      </c>
      <c r="J27" s="27" t="s">
        <v>23</v>
      </c>
      <c r="K27" s="29">
        <v>5.82</v>
      </c>
      <c r="L27" s="104">
        <f t="shared" si="0"/>
        <v>582</v>
      </c>
      <c r="M27" s="28">
        <v>13644</v>
      </c>
      <c r="N27" s="30">
        <f t="shared" si="1"/>
        <v>4.2656112576956902E-2</v>
      </c>
      <c r="Q27" s="100"/>
      <c r="R27" s="100"/>
    </row>
    <row r="28" spans="1:20" ht="15" thickBot="1">
      <c r="A28" s="15" t="s">
        <v>17</v>
      </c>
      <c r="B28" s="68">
        <f>(Posts!F28+Posts!I28+Posts!K28)</f>
        <v>34096</v>
      </c>
      <c r="I28" s="69" t="s">
        <v>17</v>
      </c>
      <c r="J28" s="27" t="s">
        <v>28</v>
      </c>
      <c r="K28" s="29">
        <v>3.55</v>
      </c>
      <c r="L28" s="104">
        <f t="shared" si="0"/>
        <v>355</v>
      </c>
      <c r="M28" s="28">
        <v>11421</v>
      </c>
      <c r="N28" s="30">
        <f t="shared" si="1"/>
        <v>3.1083092548813588E-2</v>
      </c>
      <c r="Q28" s="100"/>
      <c r="R28" s="100"/>
    </row>
    <row r="29" spans="1:20" ht="15" thickBot="1">
      <c r="A29" s="15" t="s">
        <v>50</v>
      </c>
      <c r="B29" s="68">
        <f>(Posts!F29+Posts!I29+Posts!K29)</f>
        <v>53376</v>
      </c>
      <c r="I29" s="69" t="s">
        <v>50</v>
      </c>
      <c r="J29" s="27" t="s">
        <v>14</v>
      </c>
      <c r="K29" s="29">
        <v>9.92</v>
      </c>
      <c r="L29" s="104">
        <f t="shared" si="0"/>
        <v>992</v>
      </c>
      <c r="M29" s="28">
        <v>15613</v>
      </c>
      <c r="N29" s="30">
        <f t="shared" si="1"/>
        <v>6.3536796259527323E-2</v>
      </c>
      <c r="Q29" s="100"/>
      <c r="R29" s="100"/>
    </row>
    <row r="30" spans="1:20" ht="18.600000000000001" thickBot="1">
      <c r="A30" s="15" t="s">
        <v>17</v>
      </c>
      <c r="B30" s="68">
        <f>(Posts!F30+Posts!I30+Posts!K30)</f>
        <v>61051</v>
      </c>
      <c r="I30" s="69" t="s">
        <v>17</v>
      </c>
      <c r="J30" s="27" t="s">
        <v>23</v>
      </c>
      <c r="K30" s="29">
        <v>8.17</v>
      </c>
      <c r="L30" s="104">
        <f t="shared" si="0"/>
        <v>817</v>
      </c>
      <c r="M30" s="28">
        <v>23900</v>
      </c>
      <c r="N30" s="30">
        <f t="shared" si="1"/>
        <v>3.4184100418410045E-2</v>
      </c>
      <c r="Q30" s="100"/>
      <c r="R30" s="100"/>
      <c r="T30" s="86"/>
    </row>
    <row r="31" spans="1:20" ht="18.600000000000001" thickBot="1">
      <c r="A31" s="15" t="s">
        <v>17</v>
      </c>
      <c r="B31" s="68">
        <f>(Posts!F31+Posts!I31+Posts!K31)</f>
        <v>29273</v>
      </c>
      <c r="I31" s="69" t="s">
        <v>17</v>
      </c>
      <c r="J31" s="27" t="s">
        <v>28</v>
      </c>
      <c r="K31" s="29">
        <v>5.3</v>
      </c>
      <c r="L31" s="104">
        <f t="shared" si="0"/>
        <v>530</v>
      </c>
      <c r="M31" s="28">
        <v>5836</v>
      </c>
      <c r="N31" s="30">
        <f t="shared" si="1"/>
        <v>9.0815627141878005E-2</v>
      </c>
      <c r="Q31" s="100"/>
      <c r="R31" s="100"/>
      <c r="T31" s="86"/>
    </row>
    <row r="32" spans="1:20" ht="15" thickBot="1">
      <c r="A32" s="15" t="s">
        <v>17</v>
      </c>
      <c r="B32" s="68">
        <f>(Posts!F32+Posts!I32+Posts!K32)</f>
        <v>60599</v>
      </c>
      <c r="I32" s="69" t="s">
        <v>17</v>
      </c>
      <c r="J32" s="27" t="s">
        <v>14</v>
      </c>
      <c r="K32" s="29">
        <v>5.98</v>
      </c>
      <c r="L32" s="104">
        <f t="shared" si="0"/>
        <v>598</v>
      </c>
      <c r="M32" s="28">
        <v>5624</v>
      </c>
      <c r="N32" s="30">
        <f t="shared" si="1"/>
        <v>0.10633001422475107</v>
      </c>
      <c r="Q32" s="100"/>
      <c r="R32" s="100"/>
    </row>
    <row r="33" spans="1:18" ht="15" thickBot="1">
      <c r="A33" s="15" t="s">
        <v>17</v>
      </c>
      <c r="B33" s="68">
        <f>(Posts!F33+Posts!I33+Posts!K33)</f>
        <v>46279</v>
      </c>
      <c r="I33" s="69" t="s">
        <v>17</v>
      </c>
      <c r="J33" s="27" t="s">
        <v>23</v>
      </c>
      <c r="K33" s="29">
        <v>7.49</v>
      </c>
      <c r="L33" s="104">
        <f t="shared" si="0"/>
        <v>749</v>
      </c>
      <c r="M33" s="28">
        <v>10311</v>
      </c>
      <c r="N33" s="30">
        <f t="shared" si="1"/>
        <v>7.2640868974881201E-2</v>
      </c>
      <c r="Q33" s="100"/>
      <c r="R33" s="100"/>
    </row>
    <row r="34" spans="1:18" ht="15" thickBot="1">
      <c r="A34" s="15" t="s">
        <v>17</v>
      </c>
      <c r="B34" s="68">
        <f>(Posts!F34+Posts!I34+Posts!K34)</f>
        <v>37399</v>
      </c>
      <c r="I34" s="69" t="s">
        <v>17</v>
      </c>
      <c r="J34" s="27" t="s">
        <v>28</v>
      </c>
      <c r="K34" s="29">
        <v>9.3800000000000008</v>
      </c>
      <c r="L34" s="104">
        <f t="shared" si="0"/>
        <v>938.00000000000011</v>
      </c>
      <c r="M34" s="28">
        <v>8274</v>
      </c>
      <c r="N34" s="30">
        <f t="shared" si="1"/>
        <v>0.11336717428087988</v>
      </c>
      <c r="Q34" s="100"/>
      <c r="R34" s="100"/>
    </row>
    <row r="35" spans="1:18" ht="15" thickBot="1">
      <c r="A35" s="15" t="s">
        <v>17</v>
      </c>
      <c r="B35" s="68">
        <f>(Posts!F35+Posts!I35+Posts!K35)</f>
        <v>39429</v>
      </c>
      <c r="I35" s="69" t="s">
        <v>17</v>
      </c>
      <c r="J35" s="27" t="s">
        <v>14</v>
      </c>
      <c r="K35" s="29">
        <v>5.84</v>
      </c>
      <c r="L35" s="104">
        <f t="shared" si="0"/>
        <v>584</v>
      </c>
      <c r="M35" s="28">
        <v>6031</v>
      </c>
      <c r="N35" s="30">
        <f t="shared" si="1"/>
        <v>9.6833029348366767E-2</v>
      </c>
      <c r="Q35" s="100"/>
      <c r="R35" s="100"/>
    </row>
    <row r="36" spans="1:18" ht="15" thickBot="1">
      <c r="A36" s="15" t="s">
        <v>17</v>
      </c>
      <c r="B36" s="68">
        <f>(Posts!F36+Posts!I36+Posts!K36)</f>
        <v>43676</v>
      </c>
      <c r="I36" s="69" t="s">
        <v>17</v>
      </c>
      <c r="J36" s="27" t="s">
        <v>23</v>
      </c>
      <c r="K36" s="29">
        <v>5.41</v>
      </c>
      <c r="L36" s="104">
        <f t="shared" si="0"/>
        <v>541</v>
      </c>
      <c r="M36" s="28">
        <v>27829</v>
      </c>
      <c r="N36" s="30">
        <f t="shared" si="1"/>
        <v>1.9440152359049914E-2</v>
      </c>
      <c r="Q36" s="100"/>
      <c r="R36" s="100"/>
    </row>
    <row r="37" spans="1:18" ht="15" thickBot="1">
      <c r="A37" s="15" t="s">
        <v>21</v>
      </c>
      <c r="B37" s="68">
        <f>(Posts!F37+Posts!I37+Posts!K37)</f>
        <v>45420</v>
      </c>
      <c r="I37" s="69" t="s">
        <v>21</v>
      </c>
      <c r="J37" s="27" t="s">
        <v>28</v>
      </c>
      <c r="K37" s="29">
        <v>6.05</v>
      </c>
      <c r="L37" s="104">
        <f t="shared" si="0"/>
        <v>605</v>
      </c>
      <c r="M37" s="28">
        <v>18267</v>
      </c>
      <c r="N37" s="30">
        <f t="shared" si="1"/>
        <v>3.3119833579679202E-2</v>
      </c>
      <c r="Q37" s="100"/>
      <c r="R37" s="100"/>
    </row>
    <row r="38" spans="1:18" ht="15" thickBot="1">
      <c r="A38" s="15" t="s">
        <v>17</v>
      </c>
      <c r="B38" s="68">
        <f>(Posts!F38+Posts!I38+Posts!K38)</f>
        <v>49475</v>
      </c>
      <c r="I38" s="69" t="s">
        <v>17</v>
      </c>
      <c r="J38" s="27" t="s">
        <v>14</v>
      </c>
      <c r="K38" s="29">
        <v>7.54</v>
      </c>
      <c r="L38" s="104">
        <f t="shared" si="0"/>
        <v>754</v>
      </c>
      <c r="M38" s="28">
        <v>26624</v>
      </c>
      <c r="N38" s="30">
        <f t="shared" si="1"/>
        <v>2.83203125E-2</v>
      </c>
      <c r="Q38" s="100"/>
      <c r="R38" s="100"/>
    </row>
    <row r="39" spans="1:18" ht="15" thickBot="1">
      <c r="A39" s="15" t="s">
        <v>47</v>
      </c>
      <c r="B39" s="68">
        <f>(Posts!F39+Posts!I39+Posts!K39)</f>
        <v>46054</v>
      </c>
      <c r="I39" s="69" t="s">
        <v>47</v>
      </c>
      <c r="J39" s="27" t="s">
        <v>23</v>
      </c>
      <c r="K39" s="29">
        <v>5.87</v>
      </c>
      <c r="L39" s="104">
        <f t="shared" si="0"/>
        <v>587</v>
      </c>
      <c r="M39" s="28">
        <v>26644</v>
      </c>
      <c r="N39" s="30">
        <f t="shared" si="1"/>
        <v>2.2031226542561178E-2</v>
      </c>
      <c r="Q39" s="100"/>
      <c r="R39" s="100"/>
    </row>
    <row r="40" spans="1:18" ht="15" thickBot="1">
      <c r="A40" s="15" t="s">
        <v>21</v>
      </c>
      <c r="B40" s="68">
        <f>(Posts!F40+Posts!I40+Posts!K40)</f>
        <v>52860</v>
      </c>
      <c r="I40" s="69" t="s">
        <v>21</v>
      </c>
      <c r="J40" s="27" t="s">
        <v>28</v>
      </c>
      <c r="K40" s="29">
        <v>7.17</v>
      </c>
      <c r="L40" s="104">
        <f t="shared" si="0"/>
        <v>717</v>
      </c>
      <c r="M40" s="28">
        <v>13051</v>
      </c>
      <c r="N40" s="30">
        <f t="shared" si="1"/>
        <v>5.493831890276607E-2</v>
      </c>
      <c r="Q40" s="100"/>
      <c r="R40" s="100"/>
    </row>
    <row r="41" spans="1:18" ht="15" thickBot="1">
      <c r="A41" s="15" t="s">
        <v>17</v>
      </c>
      <c r="B41" s="68">
        <f>(Posts!F41+Posts!I41+Posts!K41)</f>
        <v>31232</v>
      </c>
      <c r="I41" s="69" t="s">
        <v>17</v>
      </c>
      <c r="J41" s="27" t="s">
        <v>14</v>
      </c>
      <c r="K41" s="29">
        <v>6.05</v>
      </c>
      <c r="L41" s="104">
        <f t="shared" si="0"/>
        <v>605</v>
      </c>
      <c r="M41" s="28">
        <v>14217</v>
      </c>
      <c r="N41" s="30">
        <f t="shared" si="1"/>
        <v>4.2554688049518181E-2</v>
      </c>
      <c r="Q41" s="100"/>
      <c r="R41" s="100"/>
    </row>
    <row r="42" spans="1:18" ht="15" thickBot="1">
      <c r="A42" s="15" t="s">
        <v>17</v>
      </c>
      <c r="B42" s="68">
        <f>(Posts!F42+Posts!I42+Posts!K42)</f>
        <v>45541</v>
      </c>
      <c r="I42" s="69" t="s">
        <v>17</v>
      </c>
      <c r="J42" s="27" t="s">
        <v>23</v>
      </c>
      <c r="K42" s="29">
        <v>7.51</v>
      </c>
      <c r="L42" s="104">
        <f t="shared" si="0"/>
        <v>751</v>
      </c>
      <c r="M42" s="28">
        <v>16385</v>
      </c>
      <c r="N42" s="30">
        <f t="shared" si="1"/>
        <v>4.5834604821483063E-2</v>
      </c>
      <c r="Q42" s="100"/>
      <c r="R42" s="100"/>
    </row>
    <row r="43" spans="1:18" ht="15" thickBot="1">
      <c r="A43" s="15" t="s">
        <v>47</v>
      </c>
      <c r="B43" s="68">
        <f>(Posts!F43+Posts!I43+Posts!K43)</f>
        <v>48515</v>
      </c>
      <c r="I43" s="69" t="s">
        <v>47</v>
      </c>
      <c r="J43" s="27" t="s">
        <v>28</v>
      </c>
      <c r="K43" s="29">
        <v>7.66</v>
      </c>
      <c r="L43" s="104">
        <f t="shared" si="0"/>
        <v>766</v>
      </c>
      <c r="M43" s="28">
        <v>24548</v>
      </c>
      <c r="N43" s="30">
        <f t="shared" si="1"/>
        <v>3.1204171419260227E-2</v>
      </c>
      <c r="Q43" s="100"/>
      <c r="R43" s="100"/>
    </row>
    <row r="44" spans="1:18" ht="15" thickBot="1">
      <c r="A44" s="15" t="s">
        <v>17</v>
      </c>
      <c r="B44" s="68">
        <f>(Posts!F44+Posts!I44+Posts!K44)</f>
        <v>53791</v>
      </c>
      <c r="I44" s="69" t="s">
        <v>17</v>
      </c>
      <c r="J44" s="27" t="s">
        <v>14</v>
      </c>
      <c r="K44" s="29">
        <v>6.03</v>
      </c>
      <c r="L44" s="104">
        <f t="shared" si="0"/>
        <v>603</v>
      </c>
      <c r="M44" s="28">
        <v>9195</v>
      </c>
      <c r="N44" s="30">
        <f t="shared" si="1"/>
        <v>6.5579119086460039E-2</v>
      </c>
      <c r="Q44" s="100"/>
      <c r="R44" s="100"/>
    </row>
    <row r="45" spans="1:18" ht="15" thickBot="1">
      <c r="A45" s="15" t="s">
        <v>21</v>
      </c>
      <c r="B45" s="68">
        <f>(Posts!F45+Posts!I45+Posts!K45)</f>
        <v>53298</v>
      </c>
      <c r="I45" s="69" t="s">
        <v>21</v>
      </c>
      <c r="J45" s="27" t="s">
        <v>23</v>
      </c>
      <c r="K45" s="29">
        <v>3.4</v>
      </c>
      <c r="L45" s="104">
        <f t="shared" si="0"/>
        <v>340</v>
      </c>
      <c r="M45" s="28">
        <v>18071</v>
      </c>
      <c r="N45" s="30">
        <f t="shared" si="1"/>
        <v>1.881467544684854E-2</v>
      </c>
      <c r="Q45" s="100"/>
      <c r="R45" s="100"/>
    </row>
    <row r="46" spans="1:18" ht="15" thickBot="1">
      <c r="A46" s="15" t="s">
        <v>21</v>
      </c>
      <c r="B46" s="68">
        <f>(Posts!F46+Posts!I46+Posts!K46)</f>
        <v>40155</v>
      </c>
      <c r="I46" s="69" t="s">
        <v>21</v>
      </c>
      <c r="J46" s="27" t="s">
        <v>28</v>
      </c>
      <c r="K46" s="29">
        <v>7.83</v>
      </c>
      <c r="L46" s="104">
        <f t="shared" si="0"/>
        <v>783</v>
      </c>
      <c r="M46" s="28">
        <v>16875</v>
      </c>
      <c r="N46" s="30">
        <f t="shared" si="1"/>
        <v>4.6399999999999997E-2</v>
      </c>
      <c r="Q46" s="100"/>
      <c r="R46" s="100"/>
    </row>
    <row r="47" spans="1:18" ht="15" thickBot="1">
      <c r="A47" s="15" t="s">
        <v>21</v>
      </c>
      <c r="B47" s="68">
        <f>(Posts!F47+Posts!I47+Posts!K47)</f>
        <v>27008</v>
      </c>
      <c r="I47" s="69" t="s">
        <v>21</v>
      </c>
      <c r="J47" s="27" t="s">
        <v>14</v>
      </c>
      <c r="K47" s="29">
        <v>8.76</v>
      </c>
      <c r="L47" s="104">
        <f t="shared" si="0"/>
        <v>876</v>
      </c>
      <c r="M47" s="28">
        <v>9567</v>
      </c>
      <c r="N47" s="30">
        <f t="shared" si="1"/>
        <v>9.1564753841329574E-2</v>
      </c>
      <c r="Q47" s="100"/>
      <c r="R47" s="100"/>
    </row>
    <row r="48" spans="1:18" ht="15" thickBot="1">
      <c r="A48" s="15" t="s">
        <v>50</v>
      </c>
      <c r="B48" s="68">
        <f>(Posts!F48+Posts!I48+Posts!K48)</f>
        <v>43319</v>
      </c>
      <c r="I48" s="69" t="s">
        <v>50</v>
      </c>
      <c r="J48" s="27" t="s">
        <v>23</v>
      </c>
      <c r="K48" s="29">
        <v>9.52</v>
      </c>
      <c r="L48" s="104">
        <f t="shared" si="0"/>
        <v>952</v>
      </c>
      <c r="M48" s="28">
        <v>20306</v>
      </c>
      <c r="N48" s="30">
        <f t="shared" si="1"/>
        <v>4.6882694770018711E-2</v>
      </c>
      <c r="Q48" s="100"/>
      <c r="R48" s="100"/>
    </row>
    <row r="49" spans="1:18" ht="15" thickBot="1">
      <c r="A49" s="15" t="s">
        <v>47</v>
      </c>
      <c r="B49" s="68">
        <f>(Posts!F49+Posts!I49+Posts!K49)</f>
        <v>27391</v>
      </c>
      <c r="I49" s="69" t="s">
        <v>47</v>
      </c>
      <c r="J49" s="27" t="s">
        <v>28</v>
      </c>
      <c r="K49" s="29">
        <v>3.36</v>
      </c>
      <c r="L49" s="104">
        <f t="shared" si="0"/>
        <v>336</v>
      </c>
      <c r="M49" s="28">
        <v>21134</v>
      </c>
      <c r="N49" s="30">
        <f t="shared" si="1"/>
        <v>1.5898552096148388E-2</v>
      </c>
      <c r="Q49" s="100"/>
      <c r="R49" s="100"/>
    </row>
    <row r="50" spans="1:18" ht="15" thickBot="1">
      <c r="A50" s="15" t="s">
        <v>17</v>
      </c>
      <c r="B50" s="68">
        <f>(Posts!F50+Posts!I50+Posts!K50)</f>
        <v>47910</v>
      </c>
      <c r="I50" s="69" t="s">
        <v>17</v>
      </c>
      <c r="J50" s="27" t="s">
        <v>14</v>
      </c>
      <c r="K50" s="29">
        <v>9.2200000000000006</v>
      </c>
      <c r="L50" s="104">
        <f t="shared" si="0"/>
        <v>922.00000000000011</v>
      </c>
      <c r="M50" s="28">
        <v>26872</v>
      </c>
      <c r="N50" s="30">
        <f t="shared" si="1"/>
        <v>3.4310806787734446E-2</v>
      </c>
      <c r="Q50" s="100"/>
      <c r="R50" s="100"/>
    </row>
    <row r="51" spans="1:18" ht="15" thickBot="1">
      <c r="A51" s="15" t="s">
        <v>17</v>
      </c>
      <c r="B51" s="68">
        <f>(Posts!F51+Posts!I51+Posts!K51)</f>
        <v>29439</v>
      </c>
      <c r="I51" s="69" t="s">
        <v>17</v>
      </c>
      <c r="J51" s="27" t="s">
        <v>23</v>
      </c>
      <c r="K51" s="29">
        <v>5.57</v>
      </c>
      <c r="L51" s="104">
        <f t="shared" si="0"/>
        <v>557</v>
      </c>
      <c r="M51" s="28">
        <v>10253</v>
      </c>
      <c r="N51" s="30">
        <f t="shared" si="1"/>
        <v>5.4325563249780551E-2</v>
      </c>
      <c r="Q51" s="100"/>
      <c r="R51" s="100"/>
    </row>
    <row r="52" spans="1:18" ht="15" thickBot="1">
      <c r="A52" s="15" t="s">
        <v>50</v>
      </c>
      <c r="B52" s="68">
        <f>(Posts!F52+Posts!I52+Posts!K52)</f>
        <v>50260</v>
      </c>
      <c r="I52" s="69" t="s">
        <v>50</v>
      </c>
      <c r="J52" s="27" t="s">
        <v>28</v>
      </c>
      <c r="K52" s="29">
        <v>8.06</v>
      </c>
      <c r="L52" s="104">
        <f t="shared" si="0"/>
        <v>806</v>
      </c>
      <c r="M52" s="28">
        <v>23963</v>
      </c>
      <c r="N52" s="30">
        <f t="shared" si="1"/>
        <v>3.3635187580853813E-2</v>
      </c>
      <c r="Q52" s="100"/>
      <c r="R52" s="100"/>
    </row>
    <row r="53" spans="1:18" ht="15" thickBot="1">
      <c r="A53" s="15" t="s">
        <v>17</v>
      </c>
      <c r="B53" s="68">
        <f>(Posts!F53+Posts!I53+Posts!K53)</f>
        <v>24519</v>
      </c>
      <c r="I53" s="69" t="s">
        <v>17</v>
      </c>
      <c r="J53" s="27" t="s">
        <v>14</v>
      </c>
      <c r="K53" s="29">
        <v>3.45</v>
      </c>
      <c r="L53" s="104">
        <f t="shared" si="0"/>
        <v>345</v>
      </c>
      <c r="M53" s="28">
        <v>11335</v>
      </c>
      <c r="N53" s="30">
        <f t="shared" si="1"/>
        <v>3.0436700485222762E-2</v>
      </c>
      <c r="Q53" s="100"/>
      <c r="R53" s="100"/>
    </row>
    <row r="54" spans="1:18" ht="15" thickBot="1">
      <c r="A54" s="15" t="s">
        <v>17</v>
      </c>
      <c r="B54" s="68">
        <f>(Posts!F54+Posts!I54+Posts!K54)</f>
        <v>60589</v>
      </c>
      <c r="I54" s="69" t="s">
        <v>17</v>
      </c>
      <c r="J54" s="27" t="s">
        <v>23</v>
      </c>
      <c r="K54" s="29">
        <v>9.58</v>
      </c>
      <c r="L54" s="104">
        <f t="shared" si="0"/>
        <v>958</v>
      </c>
      <c r="M54" s="28">
        <v>12115</v>
      </c>
      <c r="N54" s="30">
        <f t="shared" si="1"/>
        <v>7.9075526207181182E-2</v>
      </c>
      <c r="Q54" s="100"/>
      <c r="R54" s="100"/>
    </row>
    <row r="55" spans="1:18" ht="15" thickBot="1">
      <c r="A55" s="15" t="s">
        <v>21</v>
      </c>
      <c r="B55" s="68">
        <f>(Posts!F55+Posts!I55+Posts!K55)</f>
        <v>63165</v>
      </c>
      <c r="I55" s="69" t="s">
        <v>21</v>
      </c>
      <c r="J55" s="27" t="s">
        <v>28</v>
      </c>
      <c r="K55" s="29">
        <v>8.8800000000000008</v>
      </c>
      <c r="L55" s="104">
        <f t="shared" si="0"/>
        <v>888.00000000000011</v>
      </c>
      <c r="M55" s="28">
        <v>24358</v>
      </c>
      <c r="N55" s="30">
        <f t="shared" si="1"/>
        <v>3.6456195089908862E-2</v>
      </c>
      <c r="Q55" s="100"/>
      <c r="R55" s="100"/>
    </row>
    <row r="56" spans="1:18" ht="15" thickBot="1">
      <c r="A56" s="15" t="s">
        <v>17</v>
      </c>
      <c r="B56" s="68">
        <f>(Posts!F56+Posts!I56+Posts!K56)</f>
        <v>54133</v>
      </c>
      <c r="I56" s="69" t="s">
        <v>17</v>
      </c>
      <c r="J56" s="27" t="s">
        <v>14</v>
      </c>
      <c r="K56" s="29">
        <v>6.23</v>
      </c>
      <c r="L56" s="104">
        <f t="shared" si="0"/>
        <v>623</v>
      </c>
      <c r="M56" s="28">
        <v>12181</v>
      </c>
      <c r="N56" s="30">
        <f t="shared" si="1"/>
        <v>5.1145226171907067E-2</v>
      </c>
      <c r="Q56" s="100"/>
      <c r="R56" s="100"/>
    </row>
    <row r="57" spans="1:18" ht="15" thickBot="1">
      <c r="A57" s="15" t="s">
        <v>47</v>
      </c>
      <c r="B57" s="68">
        <f>(Posts!F57+Posts!I57+Posts!K57)</f>
        <v>26109</v>
      </c>
      <c r="I57" s="69" t="s">
        <v>47</v>
      </c>
      <c r="J57" s="27" t="s">
        <v>23</v>
      </c>
      <c r="K57" s="29">
        <v>8.4499999999999993</v>
      </c>
      <c r="L57" s="104">
        <f t="shared" si="0"/>
        <v>844.99999999999989</v>
      </c>
      <c r="M57" s="28">
        <v>17729</v>
      </c>
      <c r="N57" s="30">
        <f t="shared" si="1"/>
        <v>4.7662022674713742E-2</v>
      </c>
      <c r="Q57" s="100"/>
      <c r="R57" s="100"/>
    </row>
    <row r="58" spans="1:18" ht="15" thickBot="1">
      <c r="A58" s="15" t="s">
        <v>21</v>
      </c>
      <c r="B58" s="68">
        <f>(Posts!F58+Posts!I58+Posts!K58)</f>
        <v>34207</v>
      </c>
      <c r="I58" s="69" t="s">
        <v>21</v>
      </c>
      <c r="J58" s="27" t="s">
        <v>28</v>
      </c>
      <c r="K58" s="29">
        <v>8.4</v>
      </c>
      <c r="L58" s="104">
        <f t="shared" si="0"/>
        <v>840</v>
      </c>
      <c r="M58" s="28">
        <v>10881</v>
      </c>
      <c r="N58" s="30">
        <f t="shared" si="1"/>
        <v>7.7198786876206238E-2</v>
      </c>
      <c r="Q58" s="100"/>
      <c r="R58" s="100"/>
    </row>
    <row r="59" spans="1:18" ht="15" thickBot="1">
      <c r="A59" s="15" t="s">
        <v>21</v>
      </c>
      <c r="B59" s="68">
        <f>(Posts!F59+Posts!I59+Posts!K59)</f>
        <v>42504</v>
      </c>
      <c r="I59" s="69" t="s">
        <v>21</v>
      </c>
      <c r="J59" s="27" t="s">
        <v>14</v>
      </c>
      <c r="K59" s="29">
        <v>7.34</v>
      </c>
      <c r="L59" s="104">
        <f t="shared" si="0"/>
        <v>734</v>
      </c>
      <c r="M59" s="28">
        <v>18576</v>
      </c>
      <c r="N59" s="30">
        <f t="shared" si="1"/>
        <v>3.9513350559862187E-2</v>
      </c>
      <c r="Q59" s="100"/>
      <c r="R59" s="100"/>
    </row>
    <row r="60" spans="1:18" ht="15" thickBot="1">
      <c r="A60" s="15" t="s">
        <v>21</v>
      </c>
      <c r="B60" s="68">
        <f>(Posts!F60+Posts!I60+Posts!K60)</f>
        <v>54906</v>
      </c>
      <c r="I60" s="69" t="s">
        <v>21</v>
      </c>
      <c r="J60" s="27" t="s">
        <v>23</v>
      </c>
      <c r="K60" s="29">
        <v>8.14</v>
      </c>
      <c r="L60" s="104">
        <f t="shared" si="0"/>
        <v>814</v>
      </c>
      <c r="M60" s="28">
        <v>9383</v>
      </c>
      <c r="N60" s="30">
        <f t="shared" si="1"/>
        <v>8.6752637749120745E-2</v>
      </c>
      <c r="Q60" s="100"/>
      <c r="R60" s="100"/>
    </row>
    <row r="61" spans="1:18" ht="15" thickBot="1">
      <c r="A61" s="15" t="s">
        <v>21</v>
      </c>
      <c r="B61" s="68">
        <f>(Posts!F61+Posts!I61+Posts!K61)</f>
        <v>50293</v>
      </c>
      <c r="I61" s="69" t="s">
        <v>21</v>
      </c>
      <c r="J61" s="27" t="s">
        <v>28</v>
      </c>
      <c r="K61" s="29">
        <v>9.58</v>
      </c>
      <c r="L61" s="104">
        <f t="shared" si="0"/>
        <v>958</v>
      </c>
      <c r="M61" s="28">
        <v>14178</v>
      </c>
      <c r="N61" s="30">
        <f t="shared" si="1"/>
        <v>6.7569473832698554E-2</v>
      </c>
      <c r="Q61" s="100"/>
      <c r="R61" s="100"/>
    </row>
    <row r="62" spans="1:18" ht="15" thickBot="1">
      <c r="A62" s="15" t="s">
        <v>50</v>
      </c>
      <c r="B62" s="68">
        <f>(Posts!F62+Posts!I62+Posts!K62)</f>
        <v>48166</v>
      </c>
      <c r="I62" s="69" t="s">
        <v>50</v>
      </c>
      <c r="J62" s="27" t="s">
        <v>14</v>
      </c>
      <c r="K62" s="29">
        <v>8.06</v>
      </c>
      <c r="L62" s="104">
        <f t="shared" si="0"/>
        <v>806</v>
      </c>
      <c r="M62" s="28">
        <v>21254</v>
      </c>
      <c r="N62" s="30">
        <f t="shared" si="1"/>
        <v>3.792227345440858E-2</v>
      </c>
      <c r="Q62" s="100"/>
      <c r="R62" s="100"/>
    </row>
    <row r="63" spans="1:18" ht="15" thickBot="1">
      <c r="A63" s="15" t="s">
        <v>17</v>
      </c>
      <c r="B63" s="68">
        <f>(Posts!F63+Posts!I63+Posts!K63)</f>
        <v>56177</v>
      </c>
      <c r="I63" s="69" t="s">
        <v>17</v>
      </c>
      <c r="J63" s="27" t="s">
        <v>23</v>
      </c>
      <c r="K63" s="29">
        <v>8.19</v>
      </c>
      <c r="L63" s="104">
        <f t="shared" si="0"/>
        <v>819</v>
      </c>
      <c r="M63" s="28">
        <v>14215</v>
      </c>
      <c r="N63" s="30">
        <f t="shared" si="1"/>
        <v>5.7615195216320789E-2</v>
      </c>
      <c r="Q63" s="100"/>
      <c r="R63" s="100"/>
    </row>
    <row r="64" spans="1:18" ht="15" thickBot="1">
      <c r="A64" s="15" t="s">
        <v>21</v>
      </c>
      <c r="B64" s="68">
        <f>(Posts!F64+Posts!I64+Posts!K64)</f>
        <v>38574</v>
      </c>
      <c r="I64" s="69" t="s">
        <v>21</v>
      </c>
      <c r="J64" s="27" t="s">
        <v>28</v>
      </c>
      <c r="K64" s="29">
        <v>4.4800000000000004</v>
      </c>
      <c r="L64" s="104">
        <f t="shared" si="0"/>
        <v>448.00000000000006</v>
      </c>
      <c r="M64" s="28">
        <v>16921</v>
      </c>
      <c r="N64" s="30">
        <f t="shared" si="1"/>
        <v>2.6475976597127832E-2</v>
      </c>
      <c r="Q64" s="100"/>
      <c r="R64" s="100"/>
    </row>
    <row r="65" spans="1:18" ht="15" thickBot="1">
      <c r="A65" s="15" t="s">
        <v>17</v>
      </c>
      <c r="B65" s="68">
        <f>(Posts!F65+Posts!I65+Posts!K65)</f>
        <v>55718</v>
      </c>
      <c r="I65" s="69" t="s">
        <v>17</v>
      </c>
      <c r="J65" s="27" t="s">
        <v>14</v>
      </c>
      <c r="K65" s="29">
        <v>4.5199999999999996</v>
      </c>
      <c r="L65" s="104">
        <f t="shared" si="0"/>
        <v>451.99999999999994</v>
      </c>
      <c r="M65" s="28">
        <v>25130</v>
      </c>
      <c r="N65" s="30">
        <f t="shared" si="1"/>
        <v>1.7986470354158374E-2</v>
      </c>
      <c r="Q65" s="100"/>
      <c r="R65" s="100"/>
    </row>
    <row r="66" spans="1:18" ht="15" thickBot="1">
      <c r="A66" s="15" t="s">
        <v>21</v>
      </c>
      <c r="B66" s="68">
        <f>(Posts!F66+Posts!I66+Posts!K66)</f>
        <v>55402</v>
      </c>
      <c r="I66" s="69" t="s">
        <v>21</v>
      </c>
      <c r="J66" s="27" t="s">
        <v>23</v>
      </c>
      <c r="K66" s="29">
        <v>5.42</v>
      </c>
      <c r="L66" s="104">
        <f t="shared" si="0"/>
        <v>542</v>
      </c>
      <c r="M66" s="28">
        <v>25537</v>
      </c>
      <c r="N66" s="30">
        <f t="shared" si="1"/>
        <v>2.1224106198848729E-2</v>
      </c>
      <c r="Q66" s="100"/>
      <c r="R66" s="100"/>
    </row>
    <row r="67" spans="1:18" ht="15" thickBot="1">
      <c r="A67" s="15" t="s">
        <v>17</v>
      </c>
      <c r="B67" s="68">
        <f>(Posts!F67+Posts!I67+Posts!K67)</f>
        <v>63855</v>
      </c>
      <c r="I67" s="69" t="s">
        <v>17</v>
      </c>
      <c r="J67" s="27" t="s">
        <v>28</v>
      </c>
      <c r="K67" s="29">
        <v>4.08</v>
      </c>
      <c r="L67" s="104">
        <f t="shared" ref="L67:L130" si="2">K67*100</f>
        <v>408</v>
      </c>
      <c r="M67" s="28">
        <v>24943</v>
      </c>
      <c r="N67" s="30">
        <f t="shared" ref="N67:N130" si="3">L67/M67</f>
        <v>1.6357294631760413E-2</v>
      </c>
      <c r="Q67" s="100"/>
      <c r="R67" s="100"/>
    </row>
    <row r="68" spans="1:18" ht="15" thickBot="1">
      <c r="A68" s="15" t="s">
        <v>50</v>
      </c>
      <c r="B68" s="68">
        <f>(Posts!F68+Posts!I68+Posts!K68)</f>
        <v>35449</v>
      </c>
      <c r="I68" s="69" t="s">
        <v>50</v>
      </c>
      <c r="J68" s="27" t="s">
        <v>14</v>
      </c>
      <c r="K68" s="29">
        <v>4.0599999999999996</v>
      </c>
      <c r="L68" s="104">
        <f t="shared" si="2"/>
        <v>405.99999999999994</v>
      </c>
      <c r="M68" s="28">
        <v>14563</v>
      </c>
      <c r="N68" s="30">
        <f t="shared" si="3"/>
        <v>2.7878871111721482E-2</v>
      </c>
      <c r="Q68" s="100"/>
      <c r="R68" s="100"/>
    </row>
    <row r="69" spans="1:18" ht="15" thickBot="1">
      <c r="A69" s="15" t="s">
        <v>21</v>
      </c>
      <c r="B69" s="68">
        <f>(Posts!F69+Posts!I69+Posts!K69)</f>
        <v>24077</v>
      </c>
      <c r="I69" s="69" t="s">
        <v>21</v>
      </c>
      <c r="J69" s="27" t="s">
        <v>23</v>
      </c>
      <c r="K69" s="29">
        <v>9.91</v>
      </c>
      <c r="L69" s="104">
        <f t="shared" si="2"/>
        <v>991</v>
      </c>
      <c r="M69" s="28">
        <v>26273</v>
      </c>
      <c r="N69" s="30">
        <f t="shared" si="3"/>
        <v>3.7719331633235639E-2</v>
      </c>
      <c r="Q69" s="100"/>
      <c r="R69" s="100"/>
    </row>
    <row r="70" spans="1:18" ht="15" thickBot="1">
      <c r="A70" s="15" t="s">
        <v>17</v>
      </c>
      <c r="B70" s="68">
        <f>(Posts!F70+Posts!I70+Posts!K70)</f>
        <v>46235</v>
      </c>
      <c r="I70" s="69" t="s">
        <v>17</v>
      </c>
      <c r="J70" s="27" t="s">
        <v>28</v>
      </c>
      <c r="K70" s="29">
        <v>8.7200000000000006</v>
      </c>
      <c r="L70" s="104">
        <f t="shared" si="2"/>
        <v>872.00000000000011</v>
      </c>
      <c r="M70" s="28">
        <v>10858</v>
      </c>
      <c r="N70" s="30">
        <f t="shared" si="3"/>
        <v>8.0309449254006279E-2</v>
      </c>
      <c r="Q70" s="100"/>
      <c r="R70" s="100"/>
    </row>
    <row r="71" spans="1:18" ht="15" thickBot="1">
      <c r="A71" s="15" t="s">
        <v>17</v>
      </c>
      <c r="B71" s="68">
        <f>(Posts!F71+Posts!I71+Posts!K71)</f>
        <v>56882</v>
      </c>
      <c r="I71" s="69" t="s">
        <v>17</v>
      </c>
      <c r="J71" s="27" t="s">
        <v>14</v>
      </c>
      <c r="K71" s="29">
        <v>8.3800000000000008</v>
      </c>
      <c r="L71" s="104">
        <f t="shared" si="2"/>
        <v>838.00000000000011</v>
      </c>
      <c r="M71" s="28">
        <v>25038</v>
      </c>
      <c r="N71" s="30">
        <f t="shared" si="3"/>
        <v>3.3469126927070859E-2</v>
      </c>
      <c r="Q71" s="100"/>
      <c r="R71" s="100"/>
    </row>
    <row r="72" spans="1:18" ht="15" thickBot="1">
      <c r="A72" s="15" t="s">
        <v>21</v>
      </c>
      <c r="B72" s="68">
        <f>(Posts!F72+Posts!I72+Posts!K72)</f>
        <v>33267</v>
      </c>
      <c r="I72" s="69" t="s">
        <v>21</v>
      </c>
      <c r="J72" s="27" t="s">
        <v>23</v>
      </c>
      <c r="K72" s="29">
        <v>7.56</v>
      </c>
      <c r="L72" s="104">
        <f t="shared" si="2"/>
        <v>756</v>
      </c>
      <c r="M72" s="28">
        <v>9092</v>
      </c>
      <c r="N72" s="30">
        <f t="shared" si="3"/>
        <v>8.315002199736031E-2</v>
      </c>
      <c r="Q72" s="100"/>
      <c r="R72" s="100"/>
    </row>
    <row r="73" spans="1:18" ht="15" thickBot="1">
      <c r="A73" s="15" t="s">
        <v>21</v>
      </c>
      <c r="B73" s="68">
        <f>(Posts!F73+Posts!I73+Posts!K73)</f>
        <v>21921</v>
      </c>
      <c r="I73" s="69" t="s">
        <v>21</v>
      </c>
      <c r="J73" s="27" t="s">
        <v>28</v>
      </c>
      <c r="K73" s="29">
        <v>7.24</v>
      </c>
      <c r="L73" s="104">
        <f t="shared" si="2"/>
        <v>724</v>
      </c>
      <c r="M73" s="28">
        <v>17662</v>
      </c>
      <c r="N73" s="30">
        <f t="shared" si="3"/>
        <v>4.0991960140414452E-2</v>
      </c>
      <c r="Q73" s="100"/>
      <c r="R73" s="100"/>
    </row>
    <row r="74" spans="1:18" ht="15" thickBot="1">
      <c r="A74" s="15" t="s">
        <v>50</v>
      </c>
      <c r="B74" s="68">
        <f>(Posts!F74+Posts!I74+Posts!K74)</f>
        <v>37883</v>
      </c>
      <c r="I74" s="69" t="s">
        <v>50</v>
      </c>
      <c r="J74" s="27" t="s">
        <v>14</v>
      </c>
      <c r="K74" s="29">
        <v>4.53</v>
      </c>
      <c r="L74" s="104">
        <f t="shared" si="2"/>
        <v>453</v>
      </c>
      <c r="M74" s="28">
        <v>5924</v>
      </c>
      <c r="N74" s="30">
        <f t="shared" si="3"/>
        <v>7.6468602295746119E-2</v>
      </c>
      <c r="Q74" s="100"/>
      <c r="R74" s="100"/>
    </row>
    <row r="75" spans="1:18" ht="15" thickBot="1">
      <c r="A75" s="15" t="s">
        <v>17</v>
      </c>
      <c r="B75" s="68">
        <f>(Posts!F75+Posts!I75+Posts!K75)</f>
        <v>55193</v>
      </c>
      <c r="I75" s="69" t="s">
        <v>17</v>
      </c>
      <c r="J75" s="27" t="s">
        <v>23</v>
      </c>
      <c r="K75" s="29">
        <v>6.62</v>
      </c>
      <c r="L75" s="104">
        <f t="shared" si="2"/>
        <v>662</v>
      </c>
      <c r="M75" s="28">
        <v>25347</v>
      </c>
      <c r="N75" s="30">
        <f t="shared" si="3"/>
        <v>2.6117489249220815E-2</v>
      </c>
      <c r="Q75" s="100"/>
      <c r="R75" s="100"/>
    </row>
    <row r="76" spans="1:18" ht="15" thickBot="1">
      <c r="A76" s="15" t="s">
        <v>17</v>
      </c>
      <c r="B76" s="68">
        <f>(Posts!F76+Posts!I76+Posts!K76)</f>
        <v>43602</v>
      </c>
      <c r="I76" s="69" t="s">
        <v>17</v>
      </c>
      <c r="J76" s="27" t="s">
        <v>28</v>
      </c>
      <c r="K76" s="29">
        <v>6.36</v>
      </c>
      <c r="L76" s="104">
        <f t="shared" si="2"/>
        <v>636</v>
      </c>
      <c r="M76" s="28">
        <v>8910</v>
      </c>
      <c r="N76" s="30">
        <f t="shared" si="3"/>
        <v>7.1380471380471378E-2</v>
      </c>
      <c r="Q76" s="100"/>
      <c r="R76" s="100"/>
    </row>
    <row r="77" spans="1:18" ht="15" thickBot="1">
      <c r="A77" s="15" t="s">
        <v>21</v>
      </c>
      <c r="B77" s="68">
        <f>(Posts!F77+Posts!I77+Posts!K77)</f>
        <v>41336</v>
      </c>
      <c r="I77" s="69" t="s">
        <v>21</v>
      </c>
      <c r="J77" s="27" t="s">
        <v>14</v>
      </c>
      <c r="K77" s="29">
        <v>9</v>
      </c>
      <c r="L77" s="104">
        <f t="shared" si="2"/>
        <v>900</v>
      </c>
      <c r="M77" s="28">
        <v>20438</v>
      </c>
      <c r="N77" s="30">
        <f t="shared" si="3"/>
        <v>4.4035619923671589E-2</v>
      </c>
      <c r="Q77" s="100"/>
      <c r="R77" s="100"/>
    </row>
    <row r="78" spans="1:18" ht="15" thickBot="1">
      <c r="A78" s="15" t="s">
        <v>17</v>
      </c>
      <c r="B78" s="68">
        <f>(Posts!F78+Posts!I78+Posts!K78)</f>
        <v>33095</v>
      </c>
      <c r="I78" s="69" t="s">
        <v>17</v>
      </c>
      <c r="J78" s="27" t="s">
        <v>23</v>
      </c>
      <c r="K78" s="29">
        <v>8.83</v>
      </c>
      <c r="L78" s="104">
        <f t="shared" si="2"/>
        <v>883</v>
      </c>
      <c r="M78" s="28">
        <v>8760</v>
      </c>
      <c r="N78" s="30">
        <f t="shared" si="3"/>
        <v>0.10079908675799087</v>
      </c>
      <c r="Q78" s="100"/>
      <c r="R78" s="100"/>
    </row>
    <row r="79" spans="1:18" ht="15" thickBot="1">
      <c r="A79" s="15" t="s">
        <v>17</v>
      </c>
      <c r="B79" s="68">
        <f>(Posts!F79+Posts!I79+Posts!K79)</f>
        <v>25183</v>
      </c>
      <c r="I79" s="69" t="s">
        <v>17</v>
      </c>
      <c r="J79" s="27" t="s">
        <v>28</v>
      </c>
      <c r="K79" s="29">
        <v>9.7100000000000009</v>
      </c>
      <c r="L79" s="104">
        <f t="shared" si="2"/>
        <v>971.00000000000011</v>
      </c>
      <c r="M79" s="28">
        <v>6625</v>
      </c>
      <c r="N79" s="30">
        <f t="shared" si="3"/>
        <v>0.14656603773584909</v>
      </c>
      <c r="Q79" s="100"/>
      <c r="R79" s="100"/>
    </row>
    <row r="80" spans="1:18" ht="15" thickBot="1">
      <c r="A80" s="15" t="s">
        <v>50</v>
      </c>
      <c r="B80" s="68">
        <f>(Posts!F80+Posts!I80+Posts!K80)</f>
        <v>40444</v>
      </c>
      <c r="I80" s="69" t="s">
        <v>50</v>
      </c>
      <c r="J80" s="27" t="s">
        <v>14</v>
      </c>
      <c r="K80" s="29">
        <v>6.68</v>
      </c>
      <c r="L80" s="104">
        <f t="shared" si="2"/>
        <v>668</v>
      </c>
      <c r="M80" s="28">
        <v>23329</v>
      </c>
      <c r="N80" s="30">
        <f t="shared" si="3"/>
        <v>2.86338891508423E-2</v>
      </c>
      <c r="Q80" s="100"/>
      <c r="R80" s="100"/>
    </row>
    <row r="81" spans="1:18" ht="15" thickBot="1">
      <c r="A81" s="15" t="s">
        <v>17</v>
      </c>
      <c r="B81" s="68">
        <f>(Posts!F81+Posts!I81+Posts!K81)</f>
        <v>39841</v>
      </c>
      <c r="I81" s="69" t="s">
        <v>17</v>
      </c>
      <c r="J81" s="27" t="s">
        <v>23</v>
      </c>
      <c r="K81" s="29">
        <v>5.51</v>
      </c>
      <c r="L81" s="104">
        <f t="shared" si="2"/>
        <v>551</v>
      </c>
      <c r="M81" s="28">
        <v>7299</v>
      </c>
      <c r="N81" s="30">
        <f t="shared" si="3"/>
        <v>7.5489793122345522E-2</v>
      </c>
      <c r="Q81" s="100"/>
      <c r="R81" s="100"/>
    </row>
    <row r="82" spans="1:18" ht="15" thickBot="1">
      <c r="A82" s="15" t="s">
        <v>21</v>
      </c>
      <c r="B82" s="68">
        <f>(Posts!F82+Posts!I82+Posts!K82)</f>
        <v>61041</v>
      </c>
      <c r="I82" s="69" t="s">
        <v>21</v>
      </c>
      <c r="J82" s="27" t="s">
        <v>28</v>
      </c>
      <c r="K82" s="29">
        <v>7.97</v>
      </c>
      <c r="L82" s="104">
        <f t="shared" si="2"/>
        <v>797</v>
      </c>
      <c r="M82" s="28">
        <v>14496</v>
      </c>
      <c r="N82" s="30">
        <f t="shared" si="3"/>
        <v>5.498068432671082E-2</v>
      </c>
      <c r="Q82" s="100"/>
      <c r="R82" s="100"/>
    </row>
    <row r="83" spans="1:18" ht="15" thickBot="1">
      <c r="A83" s="15" t="s">
        <v>21</v>
      </c>
      <c r="B83" s="68">
        <f>(Posts!F83+Posts!I83+Posts!K83)</f>
        <v>45934</v>
      </c>
      <c r="I83" s="69" t="s">
        <v>21</v>
      </c>
      <c r="J83" s="27" t="s">
        <v>14</v>
      </c>
      <c r="K83" s="29">
        <v>9.18</v>
      </c>
      <c r="L83" s="104">
        <f t="shared" si="2"/>
        <v>918</v>
      </c>
      <c r="M83" s="28">
        <v>25703</v>
      </c>
      <c r="N83" s="30">
        <f t="shared" si="3"/>
        <v>3.5715675213010153E-2</v>
      </c>
      <c r="Q83" s="100"/>
      <c r="R83" s="100"/>
    </row>
    <row r="84" spans="1:18" ht="15" thickBot="1">
      <c r="A84" s="15" t="s">
        <v>17</v>
      </c>
      <c r="B84" s="68">
        <f>(Posts!F84+Posts!I84+Posts!K84)</f>
        <v>39603</v>
      </c>
      <c r="I84" s="69" t="s">
        <v>17</v>
      </c>
      <c r="J84" s="27" t="s">
        <v>23</v>
      </c>
      <c r="K84" s="29">
        <v>6.44</v>
      </c>
      <c r="L84" s="104">
        <f t="shared" si="2"/>
        <v>644</v>
      </c>
      <c r="M84" s="28">
        <v>15108</v>
      </c>
      <c r="N84" s="30">
        <f t="shared" si="3"/>
        <v>4.2626423087106166E-2</v>
      </c>
      <c r="Q84" s="100"/>
      <c r="R84" s="100"/>
    </row>
    <row r="85" spans="1:18" ht="15" thickBot="1">
      <c r="A85" s="15" t="s">
        <v>17</v>
      </c>
      <c r="B85" s="68">
        <f>(Posts!F85+Posts!I85+Posts!K85)</f>
        <v>34154</v>
      </c>
      <c r="I85" s="69" t="s">
        <v>17</v>
      </c>
      <c r="J85" s="27" t="s">
        <v>28</v>
      </c>
      <c r="K85" s="29">
        <v>5.0199999999999996</v>
      </c>
      <c r="L85" s="104">
        <f t="shared" si="2"/>
        <v>501.99999999999994</v>
      </c>
      <c r="M85" s="28">
        <v>18867</v>
      </c>
      <c r="N85" s="30">
        <f t="shared" si="3"/>
        <v>2.6607303757884133E-2</v>
      </c>
      <c r="Q85" s="100"/>
      <c r="R85" s="100"/>
    </row>
    <row r="86" spans="1:18" ht="15" thickBot="1">
      <c r="A86" s="15" t="s">
        <v>17</v>
      </c>
      <c r="B86" s="68">
        <f>(Posts!F86+Posts!I86+Posts!K86)</f>
        <v>60914</v>
      </c>
      <c r="I86" s="69" t="s">
        <v>17</v>
      </c>
      <c r="J86" s="27" t="s">
        <v>14</v>
      </c>
      <c r="K86" s="29">
        <v>4.53</v>
      </c>
      <c r="L86" s="104">
        <f t="shared" si="2"/>
        <v>453</v>
      </c>
      <c r="M86" s="28">
        <v>17574</v>
      </c>
      <c r="N86" s="30">
        <f t="shared" si="3"/>
        <v>2.5776715602594744E-2</v>
      </c>
      <c r="Q86" s="100"/>
      <c r="R86" s="100"/>
    </row>
    <row r="87" spans="1:18" ht="15" thickBot="1">
      <c r="A87" s="15" t="s">
        <v>17</v>
      </c>
      <c r="B87" s="68">
        <f>(Posts!F87+Posts!I87+Posts!K87)</f>
        <v>37680</v>
      </c>
      <c r="I87" s="69" t="s">
        <v>17</v>
      </c>
      <c r="J87" s="27" t="s">
        <v>23</v>
      </c>
      <c r="K87" s="29">
        <v>9.17</v>
      </c>
      <c r="L87" s="104">
        <f t="shared" si="2"/>
        <v>917</v>
      </c>
      <c r="M87" s="28">
        <v>12840</v>
      </c>
      <c r="N87" s="30">
        <f t="shared" si="3"/>
        <v>7.1417445482866049E-2</v>
      </c>
      <c r="Q87" s="100"/>
      <c r="R87" s="100"/>
    </row>
    <row r="88" spans="1:18" ht="15" thickBot="1">
      <c r="A88" s="15" t="s">
        <v>17</v>
      </c>
      <c r="B88" s="68">
        <f>(Posts!F88+Posts!I88+Posts!K88)</f>
        <v>56278</v>
      </c>
      <c r="I88" s="69" t="s">
        <v>17</v>
      </c>
      <c r="J88" s="27" t="s">
        <v>28</v>
      </c>
      <c r="K88" s="29">
        <v>3.27</v>
      </c>
      <c r="L88" s="104">
        <f t="shared" si="2"/>
        <v>327</v>
      </c>
      <c r="M88" s="28">
        <v>21079</v>
      </c>
      <c r="N88" s="30">
        <f t="shared" si="3"/>
        <v>1.5513069879975331E-2</v>
      </c>
      <c r="Q88" s="100"/>
      <c r="R88" s="100"/>
    </row>
    <row r="89" spans="1:18" ht="15" thickBot="1">
      <c r="A89" s="15" t="s">
        <v>17</v>
      </c>
      <c r="B89" s="68">
        <f>(Posts!F89+Posts!I89+Posts!K89)</f>
        <v>35846</v>
      </c>
      <c r="I89" s="69" t="s">
        <v>17</v>
      </c>
      <c r="J89" s="27" t="s">
        <v>14</v>
      </c>
      <c r="K89" s="29">
        <v>5.31</v>
      </c>
      <c r="L89" s="104">
        <f t="shared" si="2"/>
        <v>531</v>
      </c>
      <c r="M89" s="28">
        <v>23486</v>
      </c>
      <c r="N89" s="30">
        <f t="shared" si="3"/>
        <v>2.2609213999829687E-2</v>
      </c>
      <c r="Q89" s="100"/>
      <c r="R89" s="100"/>
    </row>
    <row r="90" spans="1:18" ht="15" thickBot="1">
      <c r="A90" s="15" t="s">
        <v>17</v>
      </c>
      <c r="B90" s="68">
        <f>(Posts!F90+Posts!I90+Posts!K90)</f>
        <v>35089</v>
      </c>
      <c r="I90" s="69" t="s">
        <v>17</v>
      </c>
      <c r="J90" s="27" t="s">
        <v>23</v>
      </c>
      <c r="K90" s="29">
        <v>6.03</v>
      </c>
      <c r="L90" s="104">
        <f t="shared" si="2"/>
        <v>603</v>
      </c>
      <c r="M90" s="28">
        <v>5960</v>
      </c>
      <c r="N90" s="30">
        <f t="shared" si="3"/>
        <v>0.1011744966442953</v>
      </c>
      <c r="Q90" s="100"/>
      <c r="R90" s="100"/>
    </row>
    <row r="91" spans="1:18" ht="15" thickBot="1">
      <c r="A91" s="15" t="s">
        <v>17</v>
      </c>
      <c r="B91" s="68">
        <f>(Posts!F91+Posts!I91+Posts!K91)</f>
        <v>25613</v>
      </c>
      <c r="I91" s="69" t="s">
        <v>17</v>
      </c>
      <c r="J91" s="27" t="s">
        <v>28</v>
      </c>
      <c r="K91" s="29">
        <v>8.89</v>
      </c>
      <c r="L91" s="104">
        <f t="shared" si="2"/>
        <v>889</v>
      </c>
      <c r="M91" s="28">
        <v>13301</v>
      </c>
      <c r="N91" s="30">
        <f t="shared" si="3"/>
        <v>6.6837079918803097E-2</v>
      </c>
      <c r="Q91" s="100"/>
      <c r="R91" s="100"/>
    </row>
    <row r="92" spans="1:18" ht="15" thickBot="1">
      <c r="A92" s="15" t="s">
        <v>21</v>
      </c>
      <c r="B92" s="68">
        <f>(Posts!F92+Posts!I92+Posts!K92)</f>
        <v>21935</v>
      </c>
      <c r="I92" s="69" t="s">
        <v>21</v>
      </c>
      <c r="J92" s="27" t="s">
        <v>14</v>
      </c>
      <c r="K92" s="29">
        <v>4.79</v>
      </c>
      <c r="L92" s="104">
        <f t="shared" si="2"/>
        <v>479</v>
      </c>
      <c r="M92" s="28">
        <v>10563</v>
      </c>
      <c r="N92" s="30">
        <f t="shared" si="3"/>
        <v>4.5346965824103004E-2</v>
      </c>
      <c r="Q92" s="100"/>
      <c r="R92" s="100"/>
    </row>
    <row r="93" spans="1:18" ht="15" thickBot="1">
      <c r="A93" s="15" t="s">
        <v>50</v>
      </c>
      <c r="B93" s="68">
        <f>(Posts!F93+Posts!I93+Posts!K93)</f>
        <v>32351</v>
      </c>
      <c r="I93" s="69" t="s">
        <v>50</v>
      </c>
      <c r="J93" s="27" t="s">
        <v>23</v>
      </c>
      <c r="K93" s="29">
        <v>4.8</v>
      </c>
      <c r="L93" s="104">
        <f t="shared" si="2"/>
        <v>480</v>
      </c>
      <c r="M93" s="28">
        <v>19949</v>
      </c>
      <c r="N93" s="30">
        <f t="shared" si="3"/>
        <v>2.4061356458970375E-2</v>
      </c>
      <c r="Q93" s="100"/>
      <c r="R93" s="100"/>
    </row>
    <row r="94" spans="1:18" ht="15" thickBot="1">
      <c r="A94" s="15" t="s">
        <v>21</v>
      </c>
      <c r="B94" s="68">
        <f>(Posts!F94+Posts!I94+Posts!K94)</f>
        <v>26910</v>
      </c>
      <c r="I94" s="69" t="s">
        <v>21</v>
      </c>
      <c r="J94" s="27" t="s">
        <v>28</v>
      </c>
      <c r="K94" s="29">
        <v>4.07</v>
      </c>
      <c r="L94" s="104">
        <f t="shared" si="2"/>
        <v>407</v>
      </c>
      <c r="M94" s="28">
        <v>14273</v>
      </c>
      <c r="N94" s="30">
        <f t="shared" si="3"/>
        <v>2.8515378687031457E-2</v>
      </c>
      <c r="Q94" s="100"/>
      <c r="R94" s="100"/>
    </row>
    <row r="95" spans="1:18" ht="15" thickBot="1">
      <c r="A95" s="15" t="s">
        <v>17</v>
      </c>
      <c r="B95" s="68">
        <f>(Posts!F95+Posts!I95+Posts!K95)</f>
        <v>41412</v>
      </c>
      <c r="I95" s="69" t="s">
        <v>17</v>
      </c>
      <c r="J95" s="27" t="s">
        <v>14</v>
      </c>
      <c r="K95" s="29">
        <v>6.06</v>
      </c>
      <c r="L95" s="104">
        <f t="shared" si="2"/>
        <v>606</v>
      </c>
      <c r="M95" s="28">
        <v>9247</v>
      </c>
      <c r="N95" s="30">
        <f t="shared" si="3"/>
        <v>6.5534768032875529E-2</v>
      </c>
      <c r="Q95" s="100"/>
      <c r="R95" s="100"/>
    </row>
    <row r="96" spans="1:18" ht="15" thickBot="1">
      <c r="A96" s="15" t="s">
        <v>47</v>
      </c>
      <c r="B96" s="68">
        <f>(Posts!F96+Posts!I96+Posts!K96)</f>
        <v>23762</v>
      </c>
      <c r="I96" s="69" t="s">
        <v>47</v>
      </c>
      <c r="J96" s="27" t="s">
        <v>23</v>
      </c>
      <c r="K96" s="29">
        <v>7.79</v>
      </c>
      <c r="L96" s="104">
        <f t="shared" si="2"/>
        <v>779</v>
      </c>
      <c r="M96" s="28">
        <v>11972</v>
      </c>
      <c r="N96" s="30">
        <f t="shared" si="3"/>
        <v>6.5068493150684928E-2</v>
      </c>
      <c r="Q96" s="100"/>
      <c r="R96" s="100"/>
    </row>
    <row r="97" spans="1:18" ht="15" thickBot="1">
      <c r="A97" s="15" t="s">
        <v>17</v>
      </c>
      <c r="B97" s="68">
        <f>(Posts!F97+Posts!I97+Posts!K97)</f>
        <v>27232</v>
      </c>
      <c r="I97" s="69" t="s">
        <v>17</v>
      </c>
      <c r="J97" s="27" t="s">
        <v>28</v>
      </c>
      <c r="K97" s="29">
        <v>9.0500000000000007</v>
      </c>
      <c r="L97" s="104">
        <f t="shared" si="2"/>
        <v>905.00000000000011</v>
      </c>
      <c r="M97" s="28">
        <v>13314</v>
      </c>
      <c r="N97" s="30">
        <f t="shared" si="3"/>
        <v>6.7973561664413401E-2</v>
      </c>
      <c r="Q97" s="100"/>
      <c r="R97" s="100"/>
    </row>
    <row r="98" spans="1:18" ht="15" thickBot="1">
      <c r="A98" s="15" t="s">
        <v>21</v>
      </c>
      <c r="B98" s="68">
        <f>(Posts!F98+Posts!I98+Posts!K98)</f>
        <v>45832</v>
      </c>
      <c r="I98" s="69" t="s">
        <v>21</v>
      </c>
      <c r="J98" s="27" t="s">
        <v>14</v>
      </c>
      <c r="K98" s="29">
        <v>3.5</v>
      </c>
      <c r="L98" s="104">
        <f t="shared" si="2"/>
        <v>350</v>
      </c>
      <c r="M98" s="28">
        <v>14749</v>
      </c>
      <c r="N98" s="30">
        <f t="shared" si="3"/>
        <v>2.3730422401518746E-2</v>
      </c>
      <c r="Q98" s="100"/>
      <c r="R98" s="100"/>
    </row>
    <row r="99" spans="1:18" ht="15" thickBot="1">
      <c r="A99" s="15" t="s">
        <v>17</v>
      </c>
      <c r="B99" s="68">
        <f>(Posts!F99+Posts!I99+Posts!K99)</f>
        <v>64678</v>
      </c>
      <c r="I99" s="69" t="s">
        <v>17</v>
      </c>
      <c r="J99" s="27" t="s">
        <v>23</v>
      </c>
      <c r="K99" s="29">
        <v>8.76</v>
      </c>
      <c r="L99" s="104">
        <f t="shared" si="2"/>
        <v>876</v>
      </c>
      <c r="M99" s="28">
        <v>6868</v>
      </c>
      <c r="N99" s="30">
        <f t="shared" si="3"/>
        <v>0.12754804892253932</v>
      </c>
      <c r="Q99" s="100"/>
      <c r="R99" s="100"/>
    </row>
    <row r="100" spans="1:18" ht="15" thickBot="1">
      <c r="A100" s="15" t="s">
        <v>17</v>
      </c>
      <c r="B100" s="68">
        <f>(Posts!F100+Posts!I100+Posts!K100)</f>
        <v>42923</v>
      </c>
      <c r="I100" s="69" t="s">
        <v>17</v>
      </c>
      <c r="J100" s="27" t="s">
        <v>28</v>
      </c>
      <c r="K100" s="29">
        <v>6.26</v>
      </c>
      <c r="L100" s="104">
        <f t="shared" si="2"/>
        <v>626</v>
      </c>
      <c r="M100" s="28">
        <v>6027</v>
      </c>
      <c r="N100" s="30">
        <f t="shared" si="3"/>
        <v>0.10386593661854986</v>
      </c>
      <c r="Q100" s="100"/>
      <c r="R100" s="100"/>
    </row>
    <row r="101" spans="1:18" ht="15" thickBot="1">
      <c r="A101" s="15" t="s">
        <v>21</v>
      </c>
      <c r="B101" s="68">
        <f>(Posts!F101+Posts!I101+Posts!K101)</f>
        <v>39275</v>
      </c>
      <c r="I101" s="69" t="s">
        <v>21</v>
      </c>
      <c r="J101" s="27" t="s">
        <v>14</v>
      </c>
      <c r="K101" s="29">
        <v>3.33</v>
      </c>
      <c r="L101" s="104">
        <f t="shared" si="2"/>
        <v>333</v>
      </c>
      <c r="M101" s="28">
        <v>25267</v>
      </c>
      <c r="N101" s="30">
        <f t="shared" si="3"/>
        <v>1.3179245656389758E-2</v>
      </c>
      <c r="Q101" s="100"/>
      <c r="R101" s="100"/>
    </row>
    <row r="102" spans="1:18" ht="15" thickBot="1">
      <c r="A102" s="15" t="s">
        <v>17</v>
      </c>
      <c r="B102" s="68">
        <f>(Posts!F102+Posts!I102+Posts!K102)</f>
        <v>48399</v>
      </c>
      <c r="I102" s="69" t="s">
        <v>17</v>
      </c>
      <c r="J102" s="27" t="s">
        <v>23</v>
      </c>
      <c r="K102" s="29">
        <v>9.15</v>
      </c>
      <c r="L102" s="104">
        <f t="shared" si="2"/>
        <v>915</v>
      </c>
      <c r="M102" s="28">
        <v>5900</v>
      </c>
      <c r="N102" s="30">
        <f t="shared" si="3"/>
        <v>0.15508474576271186</v>
      </c>
      <c r="Q102" s="100"/>
      <c r="R102" s="100"/>
    </row>
    <row r="103" spans="1:18" ht="15" thickBot="1">
      <c r="A103" s="15" t="s">
        <v>17</v>
      </c>
      <c r="B103" s="68">
        <f>(Posts!F103+Posts!I103+Posts!K103)</f>
        <v>27094</v>
      </c>
      <c r="I103" s="69" t="s">
        <v>17</v>
      </c>
      <c r="J103" s="27" t="s">
        <v>28</v>
      </c>
      <c r="K103" s="29">
        <v>6.03</v>
      </c>
      <c r="L103" s="104">
        <f t="shared" si="2"/>
        <v>603</v>
      </c>
      <c r="M103" s="28">
        <v>11181</v>
      </c>
      <c r="N103" s="30">
        <f t="shared" si="3"/>
        <v>5.3930775422591899E-2</v>
      </c>
      <c r="Q103" s="100"/>
      <c r="R103" s="100"/>
    </row>
    <row r="104" spans="1:18" ht="15" thickBot="1">
      <c r="A104" s="15" t="s">
        <v>17</v>
      </c>
      <c r="B104" s="68">
        <f>(Posts!F104+Posts!I104+Posts!K104)</f>
        <v>33963</v>
      </c>
      <c r="I104" s="69" t="s">
        <v>17</v>
      </c>
      <c r="J104" s="27" t="s">
        <v>14</v>
      </c>
      <c r="K104" s="29">
        <v>9.82</v>
      </c>
      <c r="L104" s="104">
        <f t="shared" si="2"/>
        <v>982</v>
      </c>
      <c r="M104" s="28">
        <v>9592</v>
      </c>
      <c r="N104" s="30">
        <f t="shared" si="3"/>
        <v>0.10237698081734779</v>
      </c>
      <c r="Q104" s="100"/>
      <c r="R104" s="100"/>
    </row>
    <row r="105" spans="1:18" ht="15" thickBot="1">
      <c r="A105" s="15" t="s">
        <v>17</v>
      </c>
      <c r="B105" s="68">
        <f>(Posts!F105+Posts!I105+Posts!K105)</f>
        <v>38985</v>
      </c>
      <c r="I105" s="69" t="s">
        <v>17</v>
      </c>
      <c r="J105" s="27" t="s">
        <v>23</v>
      </c>
      <c r="K105" s="29">
        <v>3.7</v>
      </c>
      <c r="L105" s="104">
        <f t="shared" si="2"/>
        <v>370</v>
      </c>
      <c r="M105" s="28">
        <v>5291</v>
      </c>
      <c r="N105" s="30">
        <f t="shared" si="3"/>
        <v>6.9930069930069935E-2</v>
      </c>
      <c r="Q105" s="100"/>
      <c r="R105" s="100"/>
    </row>
    <row r="106" spans="1:18" ht="15" thickBot="1">
      <c r="A106" s="15" t="s">
        <v>17</v>
      </c>
      <c r="B106" s="68">
        <f>(Posts!F106+Posts!I106+Posts!K106)</f>
        <v>55101</v>
      </c>
      <c r="I106" s="69" t="s">
        <v>17</v>
      </c>
      <c r="J106" s="27" t="s">
        <v>28</v>
      </c>
      <c r="K106" s="29">
        <v>3.35</v>
      </c>
      <c r="L106" s="104">
        <f t="shared" si="2"/>
        <v>335</v>
      </c>
      <c r="M106" s="28">
        <v>22244</v>
      </c>
      <c r="N106" s="30">
        <f t="shared" si="3"/>
        <v>1.5060240963855422E-2</v>
      </c>
      <c r="Q106" s="100"/>
      <c r="R106" s="100"/>
    </row>
    <row r="107" spans="1:18" ht="15" thickBot="1">
      <c r="A107" s="15" t="s">
        <v>17</v>
      </c>
      <c r="B107" s="68">
        <f>(Posts!F107+Posts!I107+Posts!K107)</f>
        <v>26044</v>
      </c>
      <c r="I107" s="69" t="s">
        <v>17</v>
      </c>
      <c r="J107" s="27" t="s">
        <v>14</v>
      </c>
      <c r="K107" s="29">
        <v>7.31</v>
      </c>
      <c r="L107" s="104">
        <f t="shared" si="2"/>
        <v>731</v>
      </c>
      <c r="M107" s="28">
        <v>6824</v>
      </c>
      <c r="N107" s="30">
        <f t="shared" si="3"/>
        <v>0.1071219226260258</v>
      </c>
      <c r="Q107" s="100"/>
      <c r="R107" s="100"/>
    </row>
    <row r="108" spans="1:18" ht="15" thickBot="1">
      <c r="A108" s="15" t="s">
        <v>21</v>
      </c>
      <c r="B108" s="68">
        <f>(Posts!F108+Posts!I108+Posts!K108)</f>
        <v>57045</v>
      </c>
      <c r="I108" s="69" t="s">
        <v>21</v>
      </c>
      <c r="J108" s="27" t="s">
        <v>23</v>
      </c>
      <c r="K108" s="29">
        <v>3.13</v>
      </c>
      <c r="L108" s="104">
        <f t="shared" si="2"/>
        <v>313</v>
      </c>
      <c r="M108" s="28">
        <v>24112</v>
      </c>
      <c r="N108" s="30">
        <f t="shared" si="3"/>
        <v>1.2981088254810882E-2</v>
      </c>
      <c r="Q108" s="100"/>
      <c r="R108" s="100"/>
    </row>
    <row r="109" spans="1:18" ht="15" thickBot="1">
      <c r="A109" s="15" t="s">
        <v>50</v>
      </c>
      <c r="B109" s="68">
        <f>(Posts!F109+Posts!I109+Posts!K109)</f>
        <v>45991</v>
      </c>
      <c r="I109" s="69" t="s">
        <v>50</v>
      </c>
      <c r="J109" s="27" t="s">
        <v>28</v>
      </c>
      <c r="K109" s="29">
        <v>4.8899999999999997</v>
      </c>
      <c r="L109" s="104">
        <f t="shared" si="2"/>
        <v>488.99999999999994</v>
      </c>
      <c r="M109" s="28">
        <v>25478</v>
      </c>
      <c r="N109" s="30">
        <f t="shared" si="3"/>
        <v>1.9193029280163275E-2</v>
      </c>
      <c r="Q109" s="100"/>
      <c r="R109" s="100"/>
    </row>
    <row r="110" spans="1:18" ht="15" thickBot="1">
      <c r="A110" s="15" t="s">
        <v>17</v>
      </c>
      <c r="B110" s="68">
        <f>(Posts!F110+Posts!I110+Posts!K110)</f>
        <v>39966</v>
      </c>
      <c r="I110" s="69" t="s">
        <v>17</v>
      </c>
      <c r="J110" s="27" t="s">
        <v>14</v>
      </c>
      <c r="K110" s="29">
        <v>8.6300000000000008</v>
      </c>
      <c r="L110" s="104">
        <f t="shared" si="2"/>
        <v>863.00000000000011</v>
      </c>
      <c r="M110" s="28">
        <v>11235</v>
      </c>
      <c r="N110" s="30">
        <f t="shared" si="3"/>
        <v>7.6813529149977758E-2</v>
      </c>
      <c r="Q110" s="100"/>
      <c r="R110" s="100"/>
    </row>
    <row r="111" spans="1:18" ht="15" thickBot="1">
      <c r="A111" s="15" t="s">
        <v>21</v>
      </c>
      <c r="B111" s="68">
        <f>(Posts!F111+Posts!I111+Posts!K111)</f>
        <v>28781</v>
      </c>
      <c r="I111" s="69" t="s">
        <v>21</v>
      </c>
      <c r="J111" s="27" t="s">
        <v>23</v>
      </c>
      <c r="K111" s="29">
        <v>8.0299999999999994</v>
      </c>
      <c r="L111" s="104">
        <f t="shared" si="2"/>
        <v>802.99999999999989</v>
      </c>
      <c r="M111" s="28">
        <v>6120</v>
      </c>
      <c r="N111" s="30">
        <f t="shared" si="3"/>
        <v>0.13120915032679736</v>
      </c>
      <c r="Q111" s="100"/>
      <c r="R111" s="100"/>
    </row>
    <row r="112" spans="1:18" ht="15" thickBot="1">
      <c r="A112" s="15" t="s">
        <v>50</v>
      </c>
      <c r="B112" s="68">
        <f>(Posts!F112+Posts!I112+Posts!K112)</f>
        <v>38793</v>
      </c>
      <c r="I112" s="69" t="s">
        <v>50</v>
      </c>
      <c r="J112" s="27" t="s">
        <v>28</v>
      </c>
      <c r="K112" s="29">
        <v>7.85</v>
      </c>
      <c r="L112" s="104">
        <f t="shared" si="2"/>
        <v>785</v>
      </c>
      <c r="M112" s="28">
        <v>20572</v>
      </c>
      <c r="N112" s="30">
        <f t="shared" si="3"/>
        <v>3.8158662259381686E-2</v>
      </c>
      <c r="Q112" s="100"/>
      <c r="R112" s="100"/>
    </row>
    <row r="113" spans="1:18" ht="15" thickBot="1">
      <c r="A113" s="15" t="s">
        <v>17</v>
      </c>
      <c r="B113" s="68">
        <f>(Posts!F113+Posts!I113+Posts!K113)</f>
        <v>37677</v>
      </c>
      <c r="I113" s="69" t="s">
        <v>17</v>
      </c>
      <c r="J113" s="27" t="s">
        <v>14</v>
      </c>
      <c r="K113" s="29">
        <v>6.12</v>
      </c>
      <c r="L113" s="104">
        <f t="shared" si="2"/>
        <v>612</v>
      </c>
      <c r="M113" s="28">
        <v>14975</v>
      </c>
      <c r="N113" s="30">
        <f t="shared" si="3"/>
        <v>4.0868113522537559E-2</v>
      </c>
      <c r="Q113" s="100"/>
      <c r="R113" s="100"/>
    </row>
    <row r="114" spans="1:18" ht="15" thickBot="1">
      <c r="A114" s="15" t="s">
        <v>17</v>
      </c>
      <c r="B114" s="68">
        <f>(Posts!F114+Posts!I114+Posts!K114)</f>
        <v>56240</v>
      </c>
      <c r="I114" s="69" t="s">
        <v>17</v>
      </c>
      <c r="J114" s="27" t="s">
        <v>23</v>
      </c>
      <c r="K114" s="29">
        <v>7.16</v>
      </c>
      <c r="L114" s="104">
        <f t="shared" si="2"/>
        <v>716</v>
      </c>
      <c r="M114" s="28">
        <v>22234</v>
      </c>
      <c r="N114" s="30">
        <f t="shared" si="3"/>
        <v>3.2202932445803724E-2</v>
      </c>
      <c r="Q114" s="100"/>
      <c r="R114" s="100"/>
    </row>
    <row r="115" spans="1:18" ht="15" thickBot="1">
      <c r="A115" s="15" t="s">
        <v>17</v>
      </c>
      <c r="B115" s="68">
        <f>(Posts!F115+Posts!I115+Posts!K115)</f>
        <v>48120</v>
      </c>
      <c r="I115" s="69" t="s">
        <v>17</v>
      </c>
      <c r="J115" s="27" t="s">
        <v>28</v>
      </c>
      <c r="K115" s="29">
        <v>7.04</v>
      </c>
      <c r="L115" s="104">
        <f t="shared" si="2"/>
        <v>704</v>
      </c>
      <c r="M115" s="28">
        <v>6532</v>
      </c>
      <c r="N115" s="30">
        <f t="shared" si="3"/>
        <v>0.10777709736680956</v>
      </c>
      <c r="Q115" s="100"/>
      <c r="R115" s="100"/>
    </row>
    <row r="116" spans="1:18" ht="15" thickBot="1">
      <c r="A116" s="15" t="s">
        <v>21</v>
      </c>
      <c r="B116" s="68">
        <f>(Posts!F116+Posts!I116+Posts!K116)</f>
        <v>61879</v>
      </c>
      <c r="I116" s="69" t="s">
        <v>21</v>
      </c>
      <c r="J116" s="27" t="s">
        <v>14</v>
      </c>
      <c r="K116" s="29">
        <v>3.71</v>
      </c>
      <c r="L116" s="104">
        <f t="shared" si="2"/>
        <v>371</v>
      </c>
      <c r="M116" s="28">
        <v>24858</v>
      </c>
      <c r="N116" s="30">
        <f t="shared" si="3"/>
        <v>1.4924772708987047E-2</v>
      </c>
      <c r="Q116" s="100"/>
      <c r="R116" s="100"/>
    </row>
    <row r="117" spans="1:18" ht="15" thickBot="1">
      <c r="A117" s="15" t="s">
        <v>47</v>
      </c>
      <c r="B117" s="68">
        <f>(Posts!F117+Posts!I117+Posts!K117)</f>
        <v>38704</v>
      </c>
      <c r="I117" s="69" t="s">
        <v>47</v>
      </c>
      <c r="J117" s="27" t="s">
        <v>23</v>
      </c>
      <c r="K117" s="29">
        <v>4.12</v>
      </c>
      <c r="L117" s="104">
        <f t="shared" si="2"/>
        <v>412</v>
      </c>
      <c r="M117" s="28">
        <v>13883</v>
      </c>
      <c r="N117" s="30">
        <f t="shared" si="3"/>
        <v>2.9676582871137364E-2</v>
      </c>
      <c r="Q117" s="100"/>
      <c r="R117" s="100"/>
    </row>
    <row r="118" spans="1:18" ht="15" thickBot="1">
      <c r="A118" s="15" t="s">
        <v>47</v>
      </c>
      <c r="B118" s="68">
        <f>(Posts!F118+Posts!I118+Posts!K118)</f>
        <v>60708</v>
      </c>
      <c r="I118" s="69" t="s">
        <v>47</v>
      </c>
      <c r="J118" s="27" t="s">
        <v>28</v>
      </c>
      <c r="K118" s="29">
        <v>6.82</v>
      </c>
      <c r="L118" s="104">
        <f t="shared" si="2"/>
        <v>682</v>
      </c>
      <c r="M118" s="28">
        <v>18654</v>
      </c>
      <c r="N118" s="30">
        <f t="shared" si="3"/>
        <v>3.6560523212179695E-2</v>
      </c>
      <c r="Q118" s="100"/>
      <c r="R118" s="100"/>
    </row>
    <row r="119" spans="1:18" ht="15" thickBot="1">
      <c r="A119" s="15" t="s">
        <v>17</v>
      </c>
      <c r="B119" s="68">
        <f>(Posts!F119+Posts!I119+Posts!K119)</f>
        <v>56742</v>
      </c>
      <c r="I119" s="69" t="s">
        <v>17</v>
      </c>
      <c r="J119" s="27" t="s">
        <v>14</v>
      </c>
      <c r="K119" s="29">
        <v>8.2200000000000006</v>
      </c>
      <c r="L119" s="104">
        <f t="shared" si="2"/>
        <v>822.00000000000011</v>
      </c>
      <c r="M119" s="28">
        <v>25234</v>
      </c>
      <c r="N119" s="30">
        <f t="shared" si="3"/>
        <v>3.2575097091226128E-2</v>
      </c>
      <c r="Q119" s="100"/>
      <c r="R119" s="100"/>
    </row>
    <row r="120" spans="1:18" ht="15" thickBot="1">
      <c r="A120" s="15" t="s">
        <v>17</v>
      </c>
      <c r="B120" s="68">
        <f>(Posts!F120+Posts!I120+Posts!K120)</f>
        <v>46648</v>
      </c>
      <c r="I120" s="69" t="s">
        <v>17</v>
      </c>
      <c r="J120" s="27" t="s">
        <v>23</v>
      </c>
      <c r="K120" s="29">
        <v>7.71</v>
      </c>
      <c r="L120" s="104">
        <f t="shared" si="2"/>
        <v>771</v>
      </c>
      <c r="M120" s="28">
        <v>6772</v>
      </c>
      <c r="N120" s="30">
        <f t="shared" si="3"/>
        <v>0.11385115180153574</v>
      </c>
      <c r="Q120" s="100"/>
      <c r="R120" s="100"/>
    </row>
    <row r="121" spans="1:18" ht="15" thickBot="1">
      <c r="A121" s="15" t="s">
        <v>21</v>
      </c>
      <c r="B121" s="68">
        <f>(Posts!F121+Posts!I121+Posts!K121)</f>
        <v>56302</v>
      </c>
      <c r="I121" s="69" t="s">
        <v>21</v>
      </c>
      <c r="J121" s="27" t="s">
        <v>28</v>
      </c>
      <c r="K121" s="29">
        <v>7.39</v>
      </c>
      <c r="L121" s="104">
        <f t="shared" si="2"/>
        <v>739</v>
      </c>
      <c r="M121" s="28">
        <v>22428</v>
      </c>
      <c r="N121" s="30">
        <f t="shared" si="3"/>
        <v>3.2949884073479582E-2</v>
      </c>
      <c r="Q121" s="100"/>
      <c r="R121" s="100"/>
    </row>
    <row r="122" spans="1:18" ht="15" thickBot="1">
      <c r="A122" s="15" t="s">
        <v>47</v>
      </c>
      <c r="B122" s="68">
        <f>(Posts!F122+Posts!I122+Posts!K122)</f>
        <v>53105</v>
      </c>
      <c r="I122" s="69" t="s">
        <v>47</v>
      </c>
      <c r="J122" s="27" t="s">
        <v>14</v>
      </c>
      <c r="K122" s="29">
        <v>7.89</v>
      </c>
      <c r="L122" s="104">
        <f t="shared" si="2"/>
        <v>789</v>
      </c>
      <c r="M122" s="28">
        <v>11911</v>
      </c>
      <c r="N122" s="30">
        <f t="shared" si="3"/>
        <v>6.6241289564268321E-2</v>
      </c>
      <c r="Q122" s="100"/>
      <c r="R122" s="100"/>
    </row>
    <row r="123" spans="1:18" ht="15" thickBot="1">
      <c r="A123" s="15" t="s">
        <v>17</v>
      </c>
      <c r="B123" s="68">
        <f>(Posts!F123+Posts!I123+Posts!K123)</f>
        <v>52720</v>
      </c>
      <c r="I123" s="69" t="s">
        <v>17</v>
      </c>
      <c r="J123" s="27" t="s">
        <v>23</v>
      </c>
      <c r="K123" s="29">
        <v>6.39</v>
      </c>
      <c r="L123" s="104">
        <f t="shared" si="2"/>
        <v>639</v>
      </c>
      <c r="M123" s="28">
        <v>21900</v>
      </c>
      <c r="N123" s="30">
        <f t="shared" si="3"/>
        <v>2.9178082191780821E-2</v>
      </c>
      <c r="Q123" s="100"/>
      <c r="R123" s="100"/>
    </row>
    <row r="124" spans="1:18" ht="15" thickBot="1">
      <c r="A124" s="15" t="s">
        <v>21</v>
      </c>
      <c r="B124" s="68">
        <f>(Posts!F124+Posts!I124+Posts!K124)</f>
        <v>62230</v>
      </c>
      <c r="I124" s="69" t="s">
        <v>21</v>
      </c>
      <c r="J124" s="27" t="s">
        <v>28</v>
      </c>
      <c r="K124" s="29">
        <v>6.77</v>
      </c>
      <c r="L124" s="104">
        <f t="shared" si="2"/>
        <v>677</v>
      </c>
      <c r="M124" s="28">
        <v>25542</v>
      </c>
      <c r="N124" s="30">
        <f t="shared" si="3"/>
        <v>2.6505363714666039E-2</v>
      </c>
      <c r="Q124" s="100"/>
      <c r="R124" s="100"/>
    </row>
    <row r="125" spans="1:18" ht="15" thickBot="1">
      <c r="A125" s="15" t="s">
        <v>17</v>
      </c>
      <c r="B125" s="68">
        <f>(Posts!F125+Posts!I125+Posts!K125)</f>
        <v>49904</v>
      </c>
      <c r="I125" s="69" t="s">
        <v>17</v>
      </c>
      <c r="J125" s="27" t="s">
        <v>14</v>
      </c>
      <c r="K125" s="29">
        <v>3.41</v>
      </c>
      <c r="L125" s="104">
        <f t="shared" si="2"/>
        <v>341</v>
      </c>
      <c r="M125" s="28">
        <v>7140</v>
      </c>
      <c r="N125" s="30">
        <f t="shared" si="3"/>
        <v>4.7759103641456579E-2</v>
      </c>
      <c r="Q125" s="100"/>
      <c r="R125" s="100"/>
    </row>
    <row r="126" spans="1:18" ht="15" thickBot="1">
      <c r="A126" s="15" t="s">
        <v>17</v>
      </c>
      <c r="B126" s="68">
        <f>(Posts!F126+Posts!I126+Posts!K126)</f>
        <v>36476</v>
      </c>
      <c r="I126" s="69" t="s">
        <v>17</v>
      </c>
      <c r="J126" s="27" t="s">
        <v>23</v>
      </c>
      <c r="K126" s="29">
        <v>4.1100000000000003</v>
      </c>
      <c r="L126" s="104">
        <f t="shared" si="2"/>
        <v>411.00000000000006</v>
      </c>
      <c r="M126" s="28">
        <v>20474</v>
      </c>
      <c r="N126" s="30">
        <f t="shared" si="3"/>
        <v>2.0074240500146528E-2</v>
      </c>
      <c r="Q126" s="100"/>
      <c r="R126" s="100"/>
    </row>
    <row r="127" spans="1:18" ht="15" thickBot="1">
      <c r="A127" s="15" t="s">
        <v>17</v>
      </c>
      <c r="B127" s="68">
        <f>(Posts!F127+Posts!I127+Posts!K127)</f>
        <v>59393</v>
      </c>
      <c r="I127" s="69" t="s">
        <v>17</v>
      </c>
      <c r="J127" s="27" t="s">
        <v>28</v>
      </c>
      <c r="K127" s="29">
        <v>9.58</v>
      </c>
      <c r="L127" s="104">
        <f t="shared" si="2"/>
        <v>958</v>
      </c>
      <c r="M127" s="28">
        <v>8698</v>
      </c>
      <c r="N127" s="30">
        <f t="shared" si="3"/>
        <v>0.11014026212922511</v>
      </c>
      <c r="Q127" s="100"/>
      <c r="R127" s="100"/>
    </row>
    <row r="128" spans="1:18" ht="15" thickBot="1">
      <c r="A128" s="15" t="s">
        <v>21</v>
      </c>
      <c r="B128" s="68">
        <f>(Posts!F128+Posts!I128+Posts!K128)</f>
        <v>55086</v>
      </c>
      <c r="I128" s="69" t="s">
        <v>21</v>
      </c>
      <c r="J128" s="27" t="s">
        <v>14</v>
      </c>
      <c r="K128" s="29">
        <v>3.39</v>
      </c>
      <c r="L128" s="104">
        <f t="shared" si="2"/>
        <v>339</v>
      </c>
      <c r="M128" s="28">
        <v>10402</v>
      </c>
      <c r="N128" s="30">
        <f t="shared" si="3"/>
        <v>3.2589886560276872E-2</v>
      </c>
      <c r="Q128" s="100"/>
      <c r="R128" s="100"/>
    </row>
    <row r="129" spans="1:18" ht="15" thickBot="1">
      <c r="A129" s="15" t="s">
        <v>17</v>
      </c>
      <c r="B129" s="68">
        <f>(Posts!F129+Posts!I129+Posts!K129)</f>
        <v>26693</v>
      </c>
      <c r="I129" s="69" t="s">
        <v>17</v>
      </c>
      <c r="J129" s="27" t="s">
        <v>23</v>
      </c>
      <c r="K129" s="29">
        <v>9.58</v>
      </c>
      <c r="L129" s="104">
        <f t="shared" si="2"/>
        <v>958</v>
      </c>
      <c r="M129" s="28">
        <v>26618</v>
      </c>
      <c r="N129" s="30">
        <f t="shared" si="3"/>
        <v>3.5990682996468557E-2</v>
      </c>
      <c r="Q129" s="100"/>
      <c r="R129" s="100"/>
    </row>
    <row r="130" spans="1:18" ht="15" thickBot="1">
      <c r="A130" s="15" t="s">
        <v>17</v>
      </c>
      <c r="B130" s="68">
        <f>(Posts!F130+Posts!I130+Posts!K130)</f>
        <v>52322</v>
      </c>
      <c r="I130" s="69" t="s">
        <v>17</v>
      </c>
      <c r="J130" s="128" t="s">
        <v>28</v>
      </c>
      <c r="K130" s="29">
        <v>5.09</v>
      </c>
      <c r="L130" s="104">
        <f t="shared" si="2"/>
        <v>509</v>
      </c>
      <c r="M130" s="28">
        <v>7975</v>
      </c>
      <c r="N130" s="30">
        <f t="shared" si="3"/>
        <v>6.3824451410658303E-2</v>
      </c>
      <c r="Q130" s="100"/>
      <c r="R130" s="100"/>
    </row>
    <row r="131" spans="1:18" ht="15" thickBot="1">
      <c r="A131" s="15" t="s">
        <v>21</v>
      </c>
      <c r="B131" s="68">
        <f>(Posts!F131+Posts!I131+Posts!K131)</f>
        <v>61354</v>
      </c>
      <c r="I131" s="69" t="s">
        <v>21</v>
      </c>
      <c r="J131" s="27" t="s">
        <v>14</v>
      </c>
      <c r="K131" s="29">
        <v>7.85</v>
      </c>
      <c r="L131" s="104">
        <f t="shared" ref="L131:L194" si="4">K131*100</f>
        <v>785</v>
      </c>
      <c r="M131" s="28">
        <v>19054</v>
      </c>
      <c r="N131" s="30">
        <f t="shared" ref="N131:N194" si="5">L131/M131</f>
        <v>4.1198698436023931E-2</v>
      </c>
      <c r="Q131" s="100"/>
      <c r="R131" s="100"/>
    </row>
    <row r="132" spans="1:18" ht="15" thickBot="1">
      <c r="A132" s="15" t="s">
        <v>21</v>
      </c>
      <c r="B132" s="68">
        <f>(Posts!F132+Posts!I132+Posts!K132)</f>
        <v>43844</v>
      </c>
      <c r="I132" s="69" t="s">
        <v>21</v>
      </c>
      <c r="J132" s="27" t="s">
        <v>23</v>
      </c>
      <c r="K132" s="29">
        <v>9.7100000000000009</v>
      </c>
      <c r="L132" s="104">
        <f t="shared" si="4"/>
        <v>971.00000000000011</v>
      </c>
      <c r="M132" s="28">
        <v>13740</v>
      </c>
      <c r="N132" s="30">
        <f t="shared" si="5"/>
        <v>7.0669577874818063E-2</v>
      </c>
      <c r="Q132" s="100"/>
      <c r="R132" s="100"/>
    </row>
    <row r="133" spans="1:18" ht="15" thickBot="1">
      <c r="A133" s="15" t="s">
        <v>17</v>
      </c>
      <c r="B133" s="68">
        <f>(Posts!F133+Posts!I133+Posts!K133)</f>
        <v>54118</v>
      </c>
      <c r="I133" s="69" t="s">
        <v>17</v>
      </c>
      <c r="J133" s="27" t="s">
        <v>28</v>
      </c>
      <c r="K133" s="29">
        <v>6.67</v>
      </c>
      <c r="L133" s="104">
        <f t="shared" si="4"/>
        <v>667</v>
      </c>
      <c r="M133" s="28">
        <v>18442</v>
      </c>
      <c r="N133" s="30">
        <f t="shared" si="5"/>
        <v>3.6167443878104326E-2</v>
      </c>
      <c r="Q133" s="100"/>
      <c r="R133" s="100"/>
    </row>
    <row r="134" spans="1:18" ht="15" thickBot="1">
      <c r="A134" s="15" t="s">
        <v>21</v>
      </c>
      <c r="B134" s="68">
        <f>(Posts!F134+Posts!I134+Posts!K134)</f>
        <v>53811</v>
      </c>
      <c r="I134" s="69" t="s">
        <v>21</v>
      </c>
      <c r="J134" s="27" t="s">
        <v>14</v>
      </c>
      <c r="K134" s="29">
        <v>6.13</v>
      </c>
      <c r="L134" s="104">
        <f t="shared" si="4"/>
        <v>613</v>
      </c>
      <c r="M134" s="28">
        <v>10104</v>
      </c>
      <c r="N134" s="30">
        <f t="shared" si="5"/>
        <v>6.0669041963578779E-2</v>
      </c>
      <c r="Q134" s="100"/>
      <c r="R134" s="100"/>
    </row>
    <row r="135" spans="1:18" ht="15" thickBot="1">
      <c r="A135" s="15" t="s">
        <v>17</v>
      </c>
      <c r="B135" s="68">
        <f>(Posts!F135+Posts!I135+Posts!K135)</f>
        <v>32035</v>
      </c>
      <c r="I135" s="69" t="s">
        <v>17</v>
      </c>
      <c r="J135" s="27" t="s">
        <v>23</v>
      </c>
      <c r="K135" s="29">
        <v>7.34</v>
      </c>
      <c r="L135" s="104">
        <f t="shared" si="4"/>
        <v>734</v>
      </c>
      <c r="M135" s="28">
        <v>21771</v>
      </c>
      <c r="N135" s="30">
        <f t="shared" si="5"/>
        <v>3.3714574433879929E-2</v>
      </c>
      <c r="Q135" s="100"/>
      <c r="R135" s="100"/>
    </row>
    <row r="136" spans="1:18" ht="15" thickBot="1">
      <c r="A136" s="15" t="s">
        <v>17</v>
      </c>
      <c r="B136" s="68">
        <f>(Posts!F136+Posts!I136+Posts!K136)</f>
        <v>40618</v>
      </c>
      <c r="I136" s="69" t="s">
        <v>17</v>
      </c>
      <c r="J136" s="27" t="s">
        <v>28</v>
      </c>
      <c r="K136" s="29">
        <v>6.87</v>
      </c>
      <c r="L136" s="104">
        <f t="shared" si="4"/>
        <v>687</v>
      </c>
      <c r="M136" s="28">
        <v>22191</v>
      </c>
      <c r="N136" s="30">
        <f t="shared" si="5"/>
        <v>3.0958496687846424E-2</v>
      </c>
      <c r="Q136" s="100"/>
      <c r="R136" s="100"/>
    </row>
    <row r="137" spans="1:18" ht="15" thickBot="1">
      <c r="A137" s="15" t="s">
        <v>17</v>
      </c>
      <c r="B137" s="68">
        <f>(Posts!F137+Posts!I137+Posts!K137)</f>
        <v>26754</v>
      </c>
      <c r="I137" s="69" t="s">
        <v>17</v>
      </c>
      <c r="J137" s="27" t="s">
        <v>14</v>
      </c>
      <c r="K137" s="29">
        <v>3.52</v>
      </c>
      <c r="L137" s="104">
        <f t="shared" si="4"/>
        <v>352</v>
      </c>
      <c r="M137" s="28">
        <v>27753</v>
      </c>
      <c r="N137" s="30">
        <f t="shared" si="5"/>
        <v>1.2683313515655966E-2</v>
      </c>
      <c r="Q137" s="100"/>
      <c r="R137" s="100"/>
    </row>
    <row r="138" spans="1:18" ht="15" thickBot="1">
      <c r="A138" s="15" t="s">
        <v>17</v>
      </c>
      <c r="B138" s="68">
        <f>(Posts!F138+Posts!I138+Posts!K138)</f>
        <v>38054</v>
      </c>
      <c r="I138" s="69" t="s">
        <v>17</v>
      </c>
      <c r="J138" s="27" t="s">
        <v>23</v>
      </c>
      <c r="K138" s="29">
        <v>6.96</v>
      </c>
      <c r="L138" s="104">
        <f t="shared" si="4"/>
        <v>696</v>
      </c>
      <c r="M138" s="28">
        <v>23736</v>
      </c>
      <c r="N138" s="30">
        <f t="shared" si="5"/>
        <v>2.9322548028311426E-2</v>
      </c>
      <c r="Q138" s="100"/>
      <c r="R138" s="100"/>
    </row>
    <row r="139" spans="1:18" ht="15" thickBot="1">
      <c r="A139" s="15" t="s">
        <v>17</v>
      </c>
      <c r="B139" s="68">
        <f>(Posts!F139+Posts!I139+Posts!K139)</f>
        <v>49804</v>
      </c>
      <c r="I139" s="69" t="s">
        <v>17</v>
      </c>
      <c r="J139" s="27" t="s">
        <v>28</v>
      </c>
      <c r="K139" s="29">
        <v>7.23</v>
      </c>
      <c r="L139" s="104">
        <f t="shared" si="4"/>
        <v>723</v>
      </c>
      <c r="M139" s="28">
        <v>27393</v>
      </c>
      <c r="N139" s="30">
        <f t="shared" si="5"/>
        <v>2.6393604205453947E-2</v>
      </c>
      <c r="Q139" s="100"/>
      <c r="R139" s="100"/>
    </row>
    <row r="140" spans="1:18" ht="15" thickBot="1">
      <c r="A140" s="15" t="s">
        <v>17</v>
      </c>
      <c r="B140" s="68">
        <f>(Posts!F140+Posts!I140+Posts!K140)</f>
        <v>30805</v>
      </c>
      <c r="I140" s="69" t="s">
        <v>17</v>
      </c>
      <c r="J140" s="27" t="s">
        <v>14</v>
      </c>
      <c r="K140" s="29">
        <v>7.42</v>
      </c>
      <c r="L140" s="104">
        <f t="shared" si="4"/>
        <v>742</v>
      </c>
      <c r="M140" s="28">
        <v>10343</v>
      </c>
      <c r="N140" s="30">
        <f t="shared" si="5"/>
        <v>7.1739340616842312E-2</v>
      </c>
      <c r="Q140" s="100"/>
      <c r="R140" s="100"/>
    </row>
    <row r="141" spans="1:18" ht="15" thickBot="1">
      <c r="A141" s="15" t="s">
        <v>17</v>
      </c>
      <c r="B141" s="68">
        <f>(Posts!F141+Posts!I141+Posts!K141)</f>
        <v>31520</v>
      </c>
      <c r="I141" s="69" t="s">
        <v>17</v>
      </c>
      <c r="J141" s="27" t="s">
        <v>23</v>
      </c>
      <c r="K141" s="29">
        <v>7.73</v>
      </c>
      <c r="L141" s="104">
        <f t="shared" si="4"/>
        <v>773</v>
      </c>
      <c r="M141" s="28">
        <v>25259</v>
      </c>
      <c r="N141" s="30">
        <f t="shared" si="5"/>
        <v>3.0602953402747535E-2</v>
      </c>
      <c r="Q141" s="100"/>
      <c r="R141" s="100"/>
    </row>
    <row r="142" spans="1:18" ht="15" thickBot="1">
      <c r="A142" s="15" t="s">
        <v>50</v>
      </c>
      <c r="B142" s="68">
        <f>(Posts!F142+Posts!I142+Posts!K142)</f>
        <v>61823</v>
      </c>
      <c r="I142" s="69" t="s">
        <v>50</v>
      </c>
      <c r="J142" s="27" t="s">
        <v>28</v>
      </c>
      <c r="K142" s="29">
        <v>5.13</v>
      </c>
      <c r="L142" s="104">
        <f t="shared" si="4"/>
        <v>513</v>
      </c>
      <c r="M142" s="28">
        <v>24827</v>
      </c>
      <c r="N142" s="30">
        <f t="shared" si="5"/>
        <v>2.0662987876102629E-2</v>
      </c>
      <c r="Q142" s="100"/>
      <c r="R142" s="100"/>
    </row>
    <row r="143" spans="1:18" ht="15" thickBot="1">
      <c r="A143" s="15" t="s">
        <v>47</v>
      </c>
      <c r="B143" s="68">
        <f>(Posts!F143+Posts!I143+Posts!K143)</f>
        <v>48334</v>
      </c>
      <c r="I143" s="69" t="s">
        <v>47</v>
      </c>
      <c r="J143" s="27" t="s">
        <v>14</v>
      </c>
      <c r="K143" s="29">
        <v>4.4000000000000004</v>
      </c>
      <c r="L143" s="104">
        <f t="shared" si="4"/>
        <v>440.00000000000006</v>
      </c>
      <c r="M143" s="28">
        <v>11908</v>
      </c>
      <c r="N143" s="30">
        <f t="shared" si="5"/>
        <v>3.6949949613705076E-2</v>
      </c>
      <c r="Q143" s="100"/>
      <c r="R143" s="100"/>
    </row>
    <row r="144" spans="1:18" ht="15" thickBot="1">
      <c r="A144" s="15" t="s">
        <v>21</v>
      </c>
      <c r="B144" s="68">
        <f>(Posts!F144+Posts!I144+Posts!K144)</f>
        <v>57392</v>
      </c>
      <c r="I144" s="69" t="s">
        <v>21</v>
      </c>
      <c r="J144" s="27" t="s">
        <v>23</v>
      </c>
      <c r="K144" s="29">
        <v>3.49</v>
      </c>
      <c r="L144" s="104">
        <f t="shared" si="4"/>
        <v>349</v>
      </c>
      <c r="M144" s="28">
        <v>11005</v>
      </c>
      <c r="N144" s="30">
        <f t="shared" si="5"/>
        <v>3.1712857791912769E-2</v>
      </c>
      <c r="Q144" s="100"/>
      <c r="R144" s="100"/>
    </row>
    <row r="145" spans="1:18" ht="15" thickBot="1">
      <c r="A145" s="15" t="s">
        <v>17</v>
      </c>
      <c r="B145" s="68">
        <f>(Posts!F145+Posts!I145+Posts!K145)</f>
        <v>51988</v>
      </c>
      <c r="I145" s="69" t="s">
        <v>17</v>
      </c>
      <c r="J145" s="27" t="s">
        <v>28</v>
      </c>
      <c r="K145" s="29">
        <v>3.57</v>
      </c>
      <c r="L145" s="104">
        <f t="shared" si="4"/>
        <v>357</v>
      </c>
      <c r="M145" s="28">
        <v>26333</v>
      </c>
      <c r="N145" s="30">
        <f t="shared" si="5"/>
        <v>1.355713363460297E-2</v>
      </c>
      <c r="Q145" s="100"/>
      <c r="R145" s="100"/>
    </row>
    <row r="146" spans="1:18" ht="15" thickBot="1">
      <c r="A146" s="15" t="s">
        <v>17</v>
      </c>
      <c r="B146" s="68">
        <f>(Posts!F146+Posts!I146+Posts!K146)</f>
        <v>45356</v>
      </c>
      <c r="I146" s="69" t="s">
        <v>17</v>
      </c>
      <c r="J146" s="27" t="s">
        <v>14</v>
      </c>
      <c r="K146" s="29">
        <v>6.41</v>
      </c>
      <c r="L146" s="104">
        <f t="shared" si="4"/>
        <v>641</v>
      </c>
      <c r="M146" s="28">
        <v>5495</v>
      </c>
      <c r="N146" s="30">
        <f t="shared" si="5"/>
        <v>0.11665150136487716</v>
      </c>
      <c r="Q146" s="100"/>
      <c r="R146" s="100"/>
    </row>
    <row r="147" spans="1:18" ht="15" thickBot="1">
      <c r="A147" s="15" t="s">
        <v>21</v>
      </c>
      <c r="B147" s="68">
        <f>(Posts!F147+Posts!I147+Posts!K147)</f>
        <v>43747</v>
      </c>
      <c r="I147" s="69" t="s">
        <v>21</v>
      </c>
      <c r="J147" s="27" t="s">
        <v>23</v>
      </c>
      <c r="K147" s="29">
        <v>6.04</v>
      </c>
      <c r="L147" s="104">
        <f t="shared" si="4"/>
        <v>604</v>
      </c>
      <c r="M147" s="28">
        <v>15655</v>
      </c>
      <c r="N147" s="30">
        <f t="shared" si="5"/>
        <v>3.8581922708399871E-2</v>
      </c>
      <c r="Q147" s="100"/>
      <c r="R147" s="100"/>
    </row>
    <row r="148" spans="1:18" ht="15" thickBot="1">
      <c r="A148" s="15" t="s">
        <v>17</v>
      </c>
      <c r="B148" s="68">
        <f>(Posts!F148+Posts!I148+Posts!K148)</f>
        <v>41778</v>
      </c>
      <c r="I148" s="69" t="s">
        <v>17</v>
      </c>
      <c r="J148" s="27" t="s">
        <v>28</v>
      </c>
      <c r="K148" s="29">
        <v>9.18</v>
      </c>
      <c r="L148" s="104">
        <f t="shared" si="4"/>
        <v>918</v>
      </c>
      <c r="M148" s="28">
        <v>13763</v>
      </c>
      <c r="N148" s="30">
        <f t="shared" si="5"/>
        <v>6.6700574002761026E-2</v>
      </c>
      <c r="Q148" s="100"/>
      <c r="R148" s="100"/>
    </row>
    <row r="149" spans="1:18" ht="15" thickBot="1">
      <c r="A149" s="15" t="s">
        <v>17</v>
      </c>
      <c r="B149" s="68">
        <f>(Posts!F149+Posts!I149+Posts!K149)</f>
        <v>53039</v>
      </c>
      <c r="I149" s="69" t="s">
        <v>17</v>
      </c>
      <c r="J149" s="27" t="s">
        <v>14</v>
      </c>
      <c r="K149" s="29">
        <v>6.54</v>
      </c>
      <c r="L149" s="104">
        <f t="shared" si="4"/>
        <v>654</v>
      </c>
      <c r="M149" s="28">
        <v>26073</v>
      </c>
      <c r="N149" s="30">
        <f t="shared" si="5"/>
        <v>2.5083419629501783E-2</v>
      </c>
      <c r="Q149" s="100"/>
      <c r="R149" s="100"/>
    </row>
    <row r="150" spans="1:18" ht="15" thickBot="1">
      <c r="A150" s="15" t="s">
        <v>21</v>
      </c>
      <c r="B150" s="68">
        <f>(Posts!F150+Posts!I150+Posts!K150)</f>
        <v>61170</v>
      </c>
      <c r="I150" s="69" t="s">
        <v>21</v>
      </c>
      <c r="J150" s="27" t="s">
        <v>23</v>
      </c>
      <c r="K150" s="29">
        <v>8.66</v>
      </c>
      <c r="L150" s="104">
        <f t="shared" si="4"/>
        <v>866</v>
      </c>
      <c r="M150" s="28">
        <v>12774</v>
      </c>
      <c r="N150" s="30">
        <f t="shared" si="5"/>
        <v>6.7793956474087994E-2</v>
      </c>
      <c r="Q150" s="100"/>
      <c r="R150" s="100"/>
    </row>
    <row r="151" spans="1:18" ht="15" thickBot="1">
      <c r="A151" s="15" t="s">
        <v>17</v>
      </c>
      <c r="B151" s="68">
        <f>(Posts!F151+Posts!I151+Posts!K151)</f>
        <v>32748</v>
      </c>
      <c r="I151" s="69" t="s">
        <v>17</v>
      </c>
      <c r="J151" s="27" t="s">
        <v>28</v>
      </c>
      <c r="K151" s="29">
        <v>3.89</v>
      </c>
      <c r="L151" s="104">
        <f t="shared" si="4"/>
        <v>389</v>
      </c>
      <c r="M151" s="28">
        <v>19000</v>
      </c>
      <c r="N151" s="30">
        <f t="shared" si="5"/>
        <v>2.0473684210526314E-2</v>
      </c>
      <c r="Q151" s="100"/>
      <c r="R151" s="100"/>
    </row>
    <row r="152" spans="1:18" ht="15" thickBot="1">
      <c r="A152" s="15" t="s">
        <v>47</v>
      </c>
      <c r="B152" s="68">
        <f>(Posts!F152+Posts!I152+Posts!K152)</f>
        <v>55689</v>
      </c>
      <c r="I152" s="69" t="s">
        <v>47</v>
      </c>
      <c r="J152" s="27" t="s">
        <v>14</v>
      </c>
      <c r="K152" s="29">
        <v>7.95</v>
      </c>
      <c r="L152" s="104">
        <f t="shared" si="4"/>
        <v>795</v>
      </c>
      <c r="M152" s="28">
        <v>14051</v>
      </c>
      <c r="N152" s="30">
        <f t="shared" si="5"/>
        <v>5.6579602875240199E-2</v>
      </c>
      <c r="Q152" s="100"/>
      <c r="R152" s="100"/>
    </row>
    <row r="153" spans="1:18" ht="15" thickBot="1">
      <c r="A153" s="15" t="s">
        <v>21</v>
      </c>
      <c r="B153" s="68">
        <f>(Posts!F153+Posts!I153+Posts!K153)</f>
        <v>40490</v>
      </c>
      <c r="I153" s="69" t="s">
        <v>21</v>
      </c>
      <c r="J153" s="27" t="s">
        <v>23</v>
      </c>
      <c r="K153" s="29">
        <v>6.66</v>
      </c>
      <c r="L153" s="104">
        <f t="shared" si="4"/>
        <v>666</v>
      </c>
      <c r="M153" s="28">
        <v>27782</v>
      </c>
      <c r="N153" s="30">
        <f t="shared" si="5"/>
        <v>2.3972356201857319E-2</v>
      </c>
      <c r="Q153" s="100"/>
      <c r="R153" s="100"/>
    </row>
    <row r="154" spans="1:18" ht="15" thickBot="1">
      <c r="A154" s="15" t="s">
        <v>17</v>
      </c>
      <c r="B154" s="68">
        <f>(Posts!F154+Posts!I154+Posts!K154)</f>
        <v>56287</v>
      </c>
      <c r="I154" s="69" t="s">
        <v>17</v>
      </c>
      <c r="J154" s="27" t="s">
        <v>28</v>
      </c>
      <c r="K154" s="29">
        <v>5.25</v>
      </c>
      <c r="L154" s="104">
        <f t="shared" si="4"/>
        <v>525</v>
      </c>
      <c r="M154" s="28">
        <v>7859</v>
      </c>
      <c r="N154" s="30">
        <f t="shared" si="5"/>
        <v>6.6802392161852658E-2</v>
      </c>
      <c r="Q154" s="100"/>
      <c r="R154" s="100"/>
    </row>
    <row r="155" spans="1:18" ht="15" thickBot="1">
      <c r="A155" s="15" t="s">
        <v>21</v>
      </c>
      <c r="B155" s="68">
        <f>(Posts!F155+Posts!I155+Posts!K155)</f>
        <v>54492</v>
      </c>
      <c r="I155" s="69" t="s">
        <v>21</v>
      </c>
      <c r="J155" s="27" t="s">
        <v>14</v>
      </c>
      <c r="K155" s="29">
        <v>5.07</v>
      </c>
      <c r="L155" s="104">
        <f t="shared" si="4"/>
        <v>507</v>
      </c>
      <c r="M155" s="28">
        <v>15773</v>
      </c>
      <c r="N155" s="30">
        <f t="shared" si="5"/>
        <v>3.2143536423001329E-2</v>
      </c>
      <c r="Q155" s="100"/>
      <c r="R155" s="100"/>
    </row>
    <row r="156" spans="1:18" ht="15" thickBot="1">
      <c r="A156" s="15" t="s">
        <v>17</v>
      </c>
      <c r="B156" s="68">
        <f>(Posts!F156+Posts!I156+Posts!K156)</f>
        <v>44884</v>
      </c>
      <c r="I156" s="69" t="s">
        <v>17</v>
      </c>
      <c r="J156" s="27" t="s">
        <v>23</v>
      </c>
      <c r="K156" s="29">
        <v>7.62</v>
      </c>
      <c r="L156" s="104">
        <f t="shared" si="4"/>
        <v>762</v>
      </c>
      <c r="M156" s="28">
        <v>20595</v>
      </c>
      <c r="N156" s="30">
        <f t="shared" si="5"/>
        <v>3.6999271667880557E-2</v>
      </c>
      <c r="Q156" s="100"/>
      <c r="R156" s="100"/>
    </row>
    <row r="157" spans="1:18" ht="15" thickBot="1">
      <c r="A157" s="15" t="s">
        <v>50</v>
      </c>
      <c r="B157" s="68">
        <f>(Posts!F157+Posts!I157+Posts!K157)</f>
        <v>54715</v>
      </c>
      <c r="I157" s="69" t="s">
        <v>50</v>
      </c>
      <c r="J157" s="27" t="s">
        <v>28</v>
      </c>
      <c r="K157" s="29">
        <v>7.44</v>
      </c>
      <c r="L157" s="104">
        <f t="shared" si="4"/>
        <v>744</v>
      </c>
      <c r="M157" s="28">
        <v>12031</v>
      </c>
      <c r="N157" s="30">
        <f t="shared" si="5"/>
        <v>6.1840246031086357E-2</v>
      </c>
      <c r="Q157" s="100"/>
      <c r="R157" s="100"/>
    </row>
    <row r="158" spans="1:18" ht="15" thickBot="1">
      <c r="A158" s="15" t="s">
        <v>21</v>
      </c>
      <c r="B158" s="68">
        <f>(Posts!F158+Posts!I158+Posts!K158)</f>
        <v>29193</v>
      </c>
      <c r="I158" s="69" t="s">
        <v>21</v>
      </c>
      <c r="J158" s="27" t="s">
        <v>14</v>
      </c>
      <c r="K158" s="29">
        <v>4.8600000000000003</v>
      </c>
      <c r="L158" s="104">
        <f t="shared" si="4"/>
        <v>486.00000000000006</v>
      </c>
      <c r="M158" s="28">
        <v>15128</v>
      </c>
      <c r="N158" s="30">
        <f t="shared" si="5"/>
        <v>3.2125859333685884E-2</v>
      </c>
      <c r="Q158" s="100"/>
      <c r="R158" s="100"/>
    </row>
    <row r="159" spans="1:18" ht="15" thickBot="1">
      <c r="A159" s="15" t="s">
        <v>17</v>
      </c>
      <c r="B159" s="68">
        <f>(Posts!F159+Posts!I159+Posts!K159)</f>
        <v>38523</v>
      </c>
      <c r="I159" s="69" t="s">
        <v>17</v>
      </c>
      <c r="J159" s="27" t="s">
        <v>23</v>
      </c>
      <c r="K159" s="29">
        <v>6.93</v>
      </c>
      <c r="L159" s="104">
        <f t="shared" si="4"/>
        <v>693</v>
      </c>
      <c r="M159" s="28">
        <v>11826</v>
      </c>
      <c r="N159" s="30">
        <f t="shared" si="5"/>
        <v>5.8599695585996953E-2</v>
      </c>
      <c r="Q159" s="100"/>
      <c r="R159" s="100"/>
    </row>
    <row r="160" spans="1:18" ht="15" thickBot="1">
      <c r="A160" s="15" t="s">
        <v>47</v>
      </c>
      <c r="B160" s="68">
        <f>(Posts!F160+Posts!I160+Posts!K160)</f>
        <v>27182</v>
      </c>
      <c r="I160" s="69" t="s">
        <v>47</v>
      </c>
      <c r="J160" s="27" t="s">
        <v>28</v>
      </c>
      <c r="K160" s="29">
        <v>9.99</v>
      </c>
      <c r="L160" s="104">
        <f t="shared" si="4"/>
        <v>999</v>
      </c>
      <c r="M160" s="28">
        <v>12562</v>
      </c>
      <c r="N160" s="30">
        <f t="shared" si="5"/>
        <v>7.9525553255850978E-2</v>
      </c>
      <c r="Q160" s="100"/>
      <c r="R160" s="100"/>
    </row>
    <row r="161" spans="1:18" ht="15" thickBot="1">
      <c r="A161" s="15" t="s">
        <v>50</v>
      </c>
      <c r="B161" s="68">
        <f>(Posts!F161+Posts!I161+Posts!K161)</f>
        <v>48407</v>
      </c>
      <c r="I161" s="69" t="s">
        <v>50</v>
      </c>
      <c r="J161" s="27" t="s">
        <v>14</v>
      </c>
      <c r="K161" s="29">
        <v>5.22</v>
      </c>
      <c r="L161" s="104">
        <f t="shared" si="4"/>
        <v>522</v>
      </c>
      <c r="M161" s="28">
        <v>13013</v>
      </c>
      <c r="N161" s="30">
        <f t="shared" si="5"/>
        <v>4.0113732421424728E-2</v>
      </c>
      <c r="Q161" s="100"/>
      <c r="R161" s="100"/>
    </row>
    <row r="162" spans="1:18" ht="15" thickBot="1">
      <c r="A162" s="15" t="s">
        <v>21</v>
      </c>
      <c r="B162" s="68">
        <f>(Posts!F162+Posts!I162+Posts!K162)</f>
        <v>26185</v>
      </c>
      <c r="I162" s="69" t="s">
        <v>21</v>
      </c>
      <c r="J162" s="27" t="s">
        <v>23</v>
      </c>
      <c r="K162" s="29">
        <v>5.17</v>
      </c>
      <c r="L162" s="104">
        <f t="shared" si="4"/>
        <v>517</v>
      </c>
      <c r="M162" s="28">
        <v>12937</v>
      </c>
      <c r="N162" s="30">
        <f t="shared" si="5"/>
        <v>3.9962897116796785E-2</v>
      </c>
      <c r="Q162" s="100"/>
      <c r="R162" s="100"/>
    </row>
    <row r="163" spans="1:18" ht="15" thickBot="1">
      <c r="A163" s="15" t="s">
        <v>17</v>
      </c>
      <c r="B163" s="68">
        <f>(Posts!F163+Posts!I163+Posts!K163)</f>
        <v>27908</v>
      </c>
      <c r="I163" s="69" t="s">
        <v>17</v>
      </c>
      <c r="J163" s="27" t="s">
        <v>28</v>
      </c>
      <c r="K163" s="29">
        <v>5.17</v>
      </c>
      <c r="L163" s="104">
        <f t="shared" si="4"/>
        <v>517</v>
      </c>
      <c r="M163" s="28">
        <v>14534</v>
      </c>
      <c r="N163" s="30">
        <f t="shared" si="5"/>
        <v>3.5571762763176001E-2</v>
      </c>
      <c r="Q163" s="100"/>
      <c r="R163" s="100"/>
    </row>
    <row r="164" spans="1:18" ht="15" thickBot="1">
      <c r="A164" s="15" t="s">
        <v>50</v>
      </c>
      <c r="B164" s="68">
        <f>(Posts!F164+Posts!I164+Posts!K164)</f>
        <v>37816</v>
      </c>
      <c r="I164" s="69" t="s">
        <v>50</v>
      </c>
      <c r="J164" s="27" t="s">
        <v>14</v>
      </c>
      <c r="K164" s="29">
        <v>6.18</v>
      </c>
      <c r="L164" s="104">
        <f t="shared" si="4"/>
        <v>618</v>
      </c>
      <c r="M164" s="28">
        <v>8182</v>
      </c>
      <c r="N164" s="30">
        <f t="shared" si="5"/>
        <v>7.5531654852114397E-2</v>
      </c>
      <c r="Q164" s="100"/>
      <c r="R164" s="100"/>
    </row>
    <row r="165" spans="1:18" ht="15" thickBot="1">
      <c r="A165" s="15" t="s">
        <v>47</v>
      </c>
      <c r="B165" s="68">
        <f>(Posts!F165+Posts!I165+Posts!K165)</f>
        <v>53222</v>
      </c>
      <c r="I165" s="69" t="s">
        <v>47</v>
      </c>
      <c r="J165" s="27" t="s">
        <v>23</v>
      </c>
      <c r="K165" s="29">
        <v>5.3</v>
      </c>
      <c r="L165" s="104">
        <f t="shared" si="4"/>
        <v>530</v>
      </c>
      <c r="M165" s="28">
        <v>10615</v>
      </c>
      <c r="N165" s="30">
        <f t="shared" si="5"/>
        <v>4.9929345266132831E-2</v>
      </c>
      <c r="Q165" s="100"/>
      <c r="R165" s="100"/>
    </row>
    <row r="166" spans="1:18" ht="15" thickBot="1">
      <c r="A166" s="15" t="s">
        <v>47</v>
      </c>
      <c r="B166" s="68">
        <f>(Posts!F166+Posts!I166+Posts!K166)</f>
        <v>30027</v>
      </c>
      <c r="I166" s="69" t="s">
        <v>47</v>
      </c>
      <c r="J166" s="27" t="s">
        <v>28</v>
      </c>
      <c r="K166" s="29">
        <v>5.99</v>
      </c>
      <c r="L166" s="104">
        <f t="shared" si="4"/>
        <v>599</v>
      </c>
      <c r="M166" s="28">
        <v>20109</v>
      </c>
      <c r="N166" s="30">
        <f t="shared" si="5"/>
        <v>2.978765726789E-2</v>
      </c>
      <c r="Q166" s="100"/>
      <c r="R166" s="100"/>
    </row>
    <row r="167" spans="1:18" ht="15" thickBot="1">
      <c r="A167" s="15" t="s">
        <v>21</v>
      </c>
      <c r="B167" s="68">
        <f>(Posts!F167+Posts!I167+Posts!K167)</f>
        <v>57910</v>
      </c>
      <c r="I167" s="69" t="s">
        <v>21</v>
      </c>
      <c r="J167" s="27" t="s">
        <v>14</v>
      </c>
      <c r="K167" s="29">
        <v>8.43</v>
      </c>
      <c r="L167" s="104">
        <f t="shared" si="4"/>
        <v>843</v>
      </c>
      <c r="M167" s="28">
        <v>26024</v>
      </c>
      <c r="N167" s="30">
        <f t="shared" si="5"/>
        <v>3.239317553027974E-2</v>
      </c>
      <c r="Q167" s="100"/>
      <c r="R167" s="100"/>
    </row>
    <row r="168" spans="1:18" ht="15" thickBot="1">
      <c r="A168" s="15" t="s">
        <v>21</v>
      </c>
      <c r="B168" s="68">
        <f>(Posts!F168+Posts!I168+Posts!K168)</f>
        <v>34420</v>
      </c>
      <c r="I168" s="69" t="s">
        <v>21</v>
      </c>
      <c r="J168" s="27" t="s">
        <v>23</v>
      </c>
      <c r="K168" s="29">
        <v>7.55</v>
      </c>
      <c r="L168" s="104">
        <f t="shared" si="4"/>
        <v>755</v>
      </c>
      <c r="M168" s="28">
        <v>26730</v>
      </c>
      <c r="N168" s="30">
        <f t="shared" si="5"/>
        <v>2.8245417134306023E-2</v>
      </c>
      <c r="Q168" s="100"/>
      <c r="R168" s="100"/>
    </row>
    <row r="169" spans="1:18" ht="15" thickBot="1">
      <c r="A169" s="15" t="s">
        <v>17</v>
      </c>
      <c r="B169" s="68">
        <f>(Posts!F169+Posts!I169+Posts!K169)</f>
        <v>36640</v>
      </c>
      <c r="I169" s="69" t="s">
        <v>17</v>
      </c>
      <c r="J169" s="27" t="s">
        <v>28</v>
      </c>
      <c r="K169" s="29">
        <v>5.63</v>
      </c>
      <c r="L169" s="104">
        <f t="shared" si="4"/>
        <v>563</v>
      </c>
      <c r="M169" s="28">
        <v>10563</v>
      </c>
      <c r="N169" s="30">
        <f t="shared" si="5"/>
        <v>5.3299252106409165E-2</v>
      </c>
      <c r="Q169" s="100"/>
      <c r="R169" s="100"/>
    </row>
    <row r="170" spans="1:18" ht="15" thickBot="1">
      <c r="A170" s="15" t="s">
        <v>21</v>
      </c>
      <c r="B170" s="68">
        <f>(Posts!F170+Posts!I170+Posts!K170)</f>
        <v>56129</v>
      </c>
      <c r="I170" s="69" t="s">
        <v>21</v>
      </c>
      <c r="J170" s="27" t="s">
        <v>14</v>
      </c>
      <c r="K170" s="29">
        <v>4.71</v>
      </c>
      <c r="L170" s="104">
        <f t="shared" si="4"/>
        <v>471</v>
      </c>
      <c r="M170" s="28">
        <v>27575</v>
      </c>
      <c r="N170" s="30">
        <f t="shared" si="5"/>
        <v>1.7080689029918404E-2</v>
      </c>
      <c r="Q170" s="100"/>
      <c r="R170" s="100"/>
    </row>
    <row r="171" spans="1:18" ht="15" thickBot="1">
      <c r="A171" s="15" t="s">
        <v>21</v>
      </c>
      <c r="B171" s="68">
        <f>(Posts!F171+Posts!I171+Posts!K171)</f>
        <v>36924</v>
      </c>
      <c r="I171" s="69" t="s">
        <v>21</v>
      </c>
      <c r="J171" s="27" t="s">
        <v>23</v>
      </c>
      <c r="K171" s="29">
        <v>5.28</v>
      </c>
      <c r="L171" s="104">
        <f t="shared" si="4"/>
        <v>528</v>
      </c>
      <c r="M171" s="28">
        <v>14479</v>
      </c>
      <c r="N171" s="30">
        <f t="shared" si="5"/>
        <v>3.6466606809862558E-2</v>
      </c>
      <c r="Q171" s="100"/>
      <c r="R171" s="100"/>
    </row>
    <row r="172" spans="1:18" ht="15" thickBot="1">
      <c r="A172" s="15" t="s">
        <v>47</v>
      </c>
      <c r="B172" s="68">
        <f>(Posts!F172+Posts!I172+Posts!K172)</f>
        <v>28584</v>
      </c>
      <c r="I172" s="69" t="s">
        <v>47</v>
      </c>
      <c r="J172" s="27" t="s">
        <v>28</v>
      </c>
      <c r="K172" s="29">
        <v>5.95</v>
      </c>
      <c r="L172" s="104">
        <f t="shared" si="4"/>
        <v>595</v>
      </c>
      <c r="M172" s="28">
        <v>15915</v>
      </c>
      <c r="N172" s="30">
        <f t="shared" si="5"/>
        <v>3.73861137291863E-2</v>
      </c>
      <c r="Q172" s="100"/>
      <c r="R172" s="100"/>
    </row>
    <row r="173" spans="1:18" ht="15" thickBot="1">
      <c r="A173" s="15" t="s">
        <v>21</v>
      </c>
      <c r="B173" s="68">
        <f>(Posts!F173+Posts!I173+Posts!K173)</f>
        <v>31096</v>
      </c>
      <c r="I173" s="69" t="s">
        <v>21</v>
      </c>
      <c r="J173" s="27" t="s">
        <v>14</v>
      </c>
      <c r="K173" s="29">
        <v>9.98</v>
      </c>
      <c r="L173" s="104">
        <f t="shared" si="4"/>
        <v>998</v>
      </c>
      <c r="M173" s="28">
        <v>12767</v>
      </c>
      <c r="N173" s="30">
        <f t="shared" si="5"/>
        <v>7.8170282760241253E-2</v>
      </c>
      <c r="Q173" s="100"/>
      <c r="R173" s="100"/>
    </row>
    <row r="174" spans="1:18" ht="15" thickBot="1">
      <c r="A174" s="15" t="s">
        <v>21</v>
      </c>
      <c r="B174" s="68">
        <f>(Posts!F174+Posts!I174+Posts!K174)</f>
        <v>47325</v>
      </c>
      <c r="I174" s="69" t="s">
        <v>21</v>
      </c>
      <c r="J174" s="27" t="s">
        <v>23</v>
      </c>
      <c r="K174" s="29">
        <v>9.93</v>
      </c>
      <c r="L174" s="104">
        <f t="shared" si="4"/>
        <v>993</v>
      </c>
      <c r="M174" s="28">
        <v>12170</v>
      </c>
      <c r="N174" s="30">
        <f t="shared" si="5"/>
        <v>8.1594083812654067E-2</v>
      </c>
      <c r="Q174" s="100"/>
      <c r="R174" s="100"/>
    </row>
    <row r="175" spans="1:18" ht="15" thickBot="1">
      <c r="A175" s="15" t="s">
        <v>21</v>
      </c>
      <c r="B175" s="68">
        <f>(Posts!F175+Posts!I175+Posts!K175)</f>
        <v>57819</v>
      </c>
      <c r="I175" s="69" t="s">
        <v>21</v>
      </c>
      <c r="J175" s="27" t="s">
        <v>28</v>
      </c>
      <c r="K175" s="29">
        <v>9.08</v>
      </c>
      <c r="L175" s="104">
        <f t="shared" si="4"/>
        <v>908</v>
      </c>
      <c r="M175" s="28">
        <v>7245</v>
      </c>
      <c r="N175" s="30">
        <f t="shared" si="5"/>
        <v>0.12532781228433401</v>
      </c>
      <c r="Q175" s="100"/>
      <c r="R175" s="100"/>
    </row>
    <row r="176" spans="1:18" ht="15" thickBot="1">
      <c r="A176" s="15" t="s">
        <v>17</v>
      </c>
      <c r="B176" s="68">
        <f>(Posts!F176+Posts!I176+Posts!K176)</f>
        <v>57571</v>
      </c>
      <c r="I176" s="69" t="s">
        <v>17</v>
      </c>
      <c r="J176" s="27" t="s">
        <v>14</v>
      </c>
      <c r="K176" s="29">
        <v>7.98</v>
      </c>
      <c r="L176" s="104">
        <f t="shared" si="4"/>
        <v>798</v>
      </c>
      <c r="M176" s="28">
        <v>12985</v>
      </c>
      <c r="N176" s="30">
        <f t="shared" si="5"/>
        <v>6.1455525606469004E-2</v>
      </c>
      <c r="Q176" s="100"/>
      <c r="R176" s="100"/>
    </row>
    <row r="177" spans="1:18" ht="15" thickBot="1">
      <c r="A177" s="15" t="s">
        <v>17</v>
      </c>
      <c r="B177" s="68">
        <f>(Posts!F177+Posts!I177+Posts!K177)</f>
        <v>50112</v>
      </c>
      <c r="I177" s="69" t="s">
        <v>17</v>
      </c>
      <c r="J177" s="27" t="s">
        <v>23</v>
      </c>
      <c r="K177" s="29">
        <v>9.6199999999999992</v>
      </c>
      <c r="L177" s="104">
        <f t="shared" si="4"/>
        <v>961.99999999999989</v>
      </c>
      <c r="M177" s="28">
        <v>16377</v>
      </c>
      <c r="N177" s="30">
        <f t="shared" si="5"/>
        <v>5.8740917139891304E-2</v>
      </c>
      <c r="Q177" s="100"/>
      <c r="R177" s="100"/>
    </row>
    <row r="178" spans="1:18" ht="15" thickBot="1">
      <c r="A178" s="15" t="s">
        <v>21</v>
      </c>
      <c r="B178" s="68">
        <f>(Posts!F178+Posts!I178+Posts!K178)</f>
        <v>37471</v>
      </c>
      <c r="I178" s="69" t="s">
        <v>21</v>
      </c>
      <c r="J178" s="27" t="s">
        <v>28</v>
      </c>
      <c r="K178" s="29">
        <v>8.7100000000000009</v>
      </c>
      <c r="L178" s="104">
        <f t="shared" si="4"/>
        <v>871.00000000000011</v>
      </c>
      <c r="M178" s="28">
        <v>11453</v>
      </c>
      <c r="N178" s="30">
        <f t="shared" si="5"/>
        <v>7.6049943246311022E-2</v>
      </c>
      <c r="Q178" s="100"/>
      <c r="R178" s="100"/>
    </row>
    <row r="179" spans="1:18" ht="15" thickBot="1">
      <c r="A179" s="15" t="s">
        <v>47</v>
      </c>
      <c r="B179" s="68">
        <f>(Posts!F179+Posts!I179+Posts!K179)</f>
        <v>63811</v>
      </c>
      <c r="I179" s="69" t="s">
        <v>47</v>
      </c>
      <c r="J179" s="27" t="s">
        <v>14</v>
      </c>
      <c r="K179" s="29">
        <v>6.69</v>
      </c>
      <c r="L179" s="104">
        <f t="shared" si="4"/>
        <v>669</v>
      </c>
      <c r="M179" s="28">
        <v>12323</v>
      </c>
      <c r="N179" s="30">
        <f t="shared" si="5"/>
        <v>5.428872839405989E-2</v>
      </c>
      <c r="Q179" s="100"/>
      <c r="R179" s="100"/>
    </row>
    <row r="180" spans="1:18" ht="15" thickBot="1">
      <c r="A180" s="15" t="s">
        <v>21</v>
      </c>
      <c r="B180" s="68">
        <f>(Posts!F180+Posts!I180+Posts!K180)</f>
        <v>42340</v>
      </c>
      <c r="I180" s="69" t="s">
        <v>21</v>
      </c>
      <c r="J180" s="27" t="s">
        <v>23</v>
      </c>
      <c r="K180" s="29">
        <v>4.25</v>
      </c>
      <c r="L180" s="104">
        <f t="shared" si="4"/>
        <v>425</v>
      </c>
      <c r="M180" s="28">
        <v>11911</v>
      </c>
      <c r="N180" s="30">
        <f t="shared" si="5"/>
        <v>3.568130299722945E-2</v>
      </c>
      <c r="Q180" s="100"/>
      <c r="R180" s="100"/>
    </row>
    <row r="181" spans="1:18" ht="15" thickBot="1">
      <c r="A181" s="15" t="s">
        <v>17</v>
      </c>
      <c r="B181" s="68">
        <f>(Posts!F181+Posts!I181+Posts!K181)</f>
        <v>62343</v>
      </c>
      <c r="I181" s="69" t="s">
        <v>17</v>
      </c>
      <c r="J181" s="27" t="s">
        <v>28</v>
      </c>
      <c r="K181" s="29">
        <v>4.9800000000000004</v>
      </c>
      <c r="L181" s="104">
        <f t="shared" si="4"/>
        <v>498.00000000000006</v>
      </c>
      <c r="M181" s="28">
        <v>27809</v>
      </c>
      <c r="N181" s="30">
        <f t="shared" si="5"/>
        <v>1.7907871552375134E-2</v>
      </c>
      <c r="Q181" s="100"/>
      <c r="R181" s="100"/>
    </row>
    <row r="182" spans="1:18" ht="15" thickBot="1">
      <c r="A182" s="15" t="s">
        <v>21</v>
      </c>
      <c r="B182" s="68">
        <f>(Posts!F182+Posts!I182+Posts!K182)</f>
        <v>62078</v>
      </c>
      <c r="I182" s="69" t="s">
        <v>21</v>
      </c>
      <c r="J182" s="27" t="s">
        <v>14</v>
      </c>
      <c r="K182" s="29">
        <v>4.97</v>
      </c>
      <c r="L182" s="104">
        <f t="shared" si="4"/>
        <v>497</v>
      </c>
      <c r="M182" s="28">
        <v>21464</v>
      </c>
      <c r="N182" s="30">
        <f t="shared" si="5"/>
        <v>2.315505031680954E-2</v>
      </c>
      <c r="Q182" s="100"/>
      <c r="R182" s="100"/>
    </row>
    <row r="183" spans="1:18" ht="15" thickBot="1">
      <c r="A183" s="15" t="s">
        <v>17</v>
      </c>
      <c r="B183" s="68">
        <f>(Posts!F183+Posts!I183+Posts!K183)</f>
        <v>50225</v>
      </c>
      <c r="I183" s="69" t="s">
        <v>17</v>
      </c>
      <c r="J183" s="27" t="s">
        <v>23</v>
      </c>
      <c r="K183" s="29">
        <v>3.71</v>
      </c>
      <c r="L183" s="104">
        <f t="shared" si="4"/>
        <v>371</v>
      </c>
      <c r="M183" s="28">
        <v>27126</v>
      </c>
      <c r="N183" s="30">
        <f t="shared" si="5"/>
        <v>1.3676915136769151E-2</v>
      </c>
      <c r="Q183" s="100"/>
      <c r="R183" s="100"/>
    </row>
    <row r="184" spans="1:18" ht="15" thickBot="1">
      <c r="A184" s="15" t="s">
        <v>21</v>
      </c>
      <c r="B184" s="68">
        <f>(Posts!F184+Posts!I184+Posts!K184)</f>
        <v>25510</v>
      </c>
      <c r="I184" s="69" t="s">
        <v>21</v>
      </c>
      <c r="J184" s="27" t="s">
        <v>28</v>
      </c>
      <c r="K184" s="29">
        <v>7.79</v>
      </c>
      <c r="L184" s="104">
        <f t="shared" si="4"/>
        <v>779</v>
      </c>
      <c r="M184" s="28">
        <v>10681</v>
      </c>
      <c r="N184" s="30">
        <f t="shared" si="5"/>
        <v>7.2933245950753678E-2</v>
      </c>
      <c r="Q184" s="100"/>
      <c r="R184" s="100"/>
    </row>
    <row r="185" spans="1:18" ht="15" thickBot="1">
      <c r="A185" s="15" t="s">
        <v>17</v>
      </c>
      <c r="B185" s="68">
        <f>(Posts!F185+Posts!I185+Posts!K185)</f>
        <v>50294</v>
      </c>
      <c r="I185" s="69" t="s">
        <v>17</v>
      </c>
      <c r="J185" s="27" t="s">
        <v>14</v>
      </c>
      <c r="K185" s="29">
        <v>4.96</v>
      </c>
      <c r="L185" s="104">
        <f t="shared" si="4"/>
        <v>496</v>
      </c>
      <c r="M185" s="28">
        <v>5413</v>
      </c>
      <c r="N185" s="30">
        <f t="shared" si="5"/>
        <v>9.1631258082394237E-2</v>
      </c>
      <c r="Q185" s="100"/>
      <c r="R185" s="100"/>
    </row>
    <row r="186" spans="1:18" ht="15" thickBot="1">
      <c r="A186" s="15" t="s">
        <v>50</v>
      </c>
      <c r="B186" s="68">
        <f>(Posts!F186+Posts!I186+Posts!K186)</f>
        <v>40932</v>
      </c>
      <c r="I186" s="69" t="s">
        <v>50</v>
      </c>
      <c r="J186" s="27" t="s">
        <v>23</v>
      </c>
      <c r="K186" s="29">
        <v>8.58</v>
      </c>
      <c r="L186" s="104">
        <f t="shared" si="4"/>
        <v>858</v>
      </c>
      <c r="M186" s="28">
        <v>25058</v>
      </c>
      <c r="N186" s="30">
        <f t="shared" si="5"/>
        <v>3.4240561896400352E-2</v>
      </c>
      <c r="Q186" s="100"/>
      <c r="R186" s="100"/>
    </row>
    <row r="187" spans="1:18" ht="15" thickBot="1">
      <c r="A187" s="15" t="s">
        <v>17</v>
      </c>
      <c r="B187" s="68">
        <f>(Posts!F187+Posts!I187+Posts!K187)</f>
        <v>27386</v>
      </c>
      <c r="I187" s="69" t="s">
        <v>17</v>
      </c>
      <c r="J187" s="27" t="s">
        <v>28</v>
      </c>
      <c r="K187" s="29">
        <v>8.51</v>
      </c>
      <c r="L187" s="104">
        <f t="shared" si="4"/>
        <v>851</v>
      </c>
      <c r="M187" s="28">
        <v>18303</v>
      </c>
      <c r="N187" s="30">
        <f t="shared" si="5"/>
        <v>4.6495110091241874E-2</v>
      </c>
      <c r="Q187" s="100"/>
      <c r="R187" s="100"/>
    </row>
    <row r="188" spans="1:18" ht="15" thickBot="1">
      <c r="A188" s="15" t="s">
        <v>50</v>
      </c>
      <c r="B188" s="68">
        <f>(Posts!F188+Posts!I188+Posts!K188)</f>
        <v>42176</v>
      </c>
      <c r="I188" s="69" t="s">
        <v>50</v>
      </c>
      <c r="J188" s="27" t="s">
        <v>14</v>
      </c>
      <c r="K188" s="29">
        <v>5.41</v>
      </c>
      <c r="L188" s="104">
        <f t="shared" si="4"/>
        <v>541</v>
      </c>
      <c r="M188" s="28">
        <v>5526</v>
      </c>
      <c r="N188" s="30">
        <f t="shared" si="5"/>
        <v>9.7900832428519727E-2</v>
      </c>
      <c r="Q188" s="100"/>
      <c r="R188" s="100"/>
    </row>
    <row r="189" spans="1:18" ht="15" thickBot="1">
      <c r="A189" s="15" t="s">
        <v>21</v>
      </c>
      <c r="B189" s="68">
        <f>(Posts!F189+Posts!I189+Posts!K189)</f>
        <v>49277</v>
      </c>
      <c r="I189" s="69" t="s">
        <v>21</v>
      </c>
      <c r="J189" s="27" t="s">
        <v>23</v>
      </c>
      <c r="K189" s="29">
        <v>8.7200000000000006</v>
      </c>
      <c r="L189" s="104">
        <f t="shared" si="4"/>
        <v>872.00000000000011</v>
      </c>
      <c r="M189" s="28">
        <v>17460</v>
      </c>
      <c r="N189" s="30">
        <f t="shared" si="5"/>
        <v>4.9942726231386035E-2</v>
      </c>
      <c r="Q189" s="100"/>
      <c r="R189" s="100"/>
    </row>
    <row r="190" spans="1:18" ht="15" thickBot="1">
      <c r="A190" s="15" t="s">
        <v>50</v>
      </c>
      <c r="B190" s="68">
        <f>(Posts!F190+Posts!I190+Posts!K190)</f>
        <v>54372</v>
      </c>
      <c r="I190" s="69" t="s">
        <v>50</v>
      </c>
      <c r="J190" s="27" t="s">
        <v>28</v>
      </c>
      <c r="K190" s="29">
        <v>7.71</v>
      </c>
      <c r="L190" s="104">
        <f t="shared" si="4"/>
        <v>771</v>
      </c>
      <c r="M190" s="28">
        <v>14475</v>
      </c>
      <c r="N190" s="30">
        <f t="shared" si="5"/>
        <v>5.326424870466321E-2</v>
      </c>
      <c r="Q190" s="100"/>
      <c r="R190" s="100"/>
    </row>
    <row r="191" spans="1:18" ht="15" thickBot="1">
      <c r="A191" s="15" t="s">
        <v>17</v>
      </c>
      <c r="B191" s="68">
        <f>(Posts!F191+Posts!I191+Posts!K191)</f>
        <v>35047</v>
      </c>
      <c r="I191" s="69" t="s">
        <v>17</v>
      </c>
      <c r="J191" s="27" t="s">
        <v>14</v>
      </c>
      <c r="K191" s="29">
        <v>8.35</v>
      </c>
      <c r="L191" s="104">
        <f t="shared" si="4"/>
        <v>835</v>
      </c>
      <c r="M191" s="28">
        <v>20162</v>
      </c>
      <c r="N191" s="30">
        <f t="shared" si="5"/>
        <v>4.1414542208114274E-2</v>
      </c>
      <c r="Q191" s="100"/>
      <c r="R191" s="100"/>
    </row>
    <row r="192" spans="1:18" ht="15" thickBot="1">
      <c r="A192" s="15" t="s">
        <v>50</v>
      </c>
      <c r="B192" s="68">
        <f>(Posts!F192+Posts!I192+Posts!K192)</f>
        <v>49541</v>
      </c>
      <c r="I192" s="69" t="s">
        <v>50</v>
      </c>
      <c r="J192" s="27" t="s">
        <v>23</v>
      </c>
      <c r="K192" s="29">
        <v>4.03</v>
      </c>
      <c r="L192" s="104">
        <f t="shared" si="4"/>
        <v>403</v>
      </c>
      <c r="M192" s="28">
        <v>17103</v>
      </c>
      <c r="N192" s="30">
        <f t="shared" si="5"/>
        <v>2.3563117581710809E-2</v>
      </c>
      <c r="Q192" s="100"/>
      <c r="R192" s="100"/>
    </row>
    <row r="193" spans="1:18" ht="15" thickBot="1">
      <c r="A193" s="15" t="s">
        <v>17</v>
      </c>
      <c r="B193" s="68">
        <f>(Posts!F193+Posts!I193+Posts!K193)</f>
        <v>60760</v>
      </c>
      <c r="I193" s="69" t="s">
        <v>17</v>
      </c>
      <c r="J193" s="27" t="s">
        <v>28</v>
      </c>
      <c r="K193" s="29">
        <v>9.3699999999999992</v>
      </c>
      <c r="L193" s="104">
        <f t="shared" si="4"/>
        <v>936.99999999999989</v>
      </c>
      <c r="M193" s="28">
        <v>15461</v>
      </c>
      <c r="N193" s="30">
        <f t="shared" si="5"/>
        <v>6.0604100640320797E-2</v>
      </c>
      <c r="Q193" s="100"/>
      <c r="R193" s="100"/>
    </row>
    <row r="194" spans="1:18" ht="15" thickBot="1">
      <c r="A194" s="15" t="s">
        <v>50</v>
      </c>
      <c r="B194" s="68">
        <f>(Posts!F194+Posts!I194+Posts!K194)</f>
        <v>27975</v>
      </c>
      <c r="I194" s="69" t="s">
        <v>50</v>
      </c>
      <c r="J194" s="27" t="s">
        <v>14</v>
      </c>
      <c r="K194" s="29">
        <v>6.07</v>
      </c>
      <c r="L194" s="104">
        <f t="shared" si="4"/>
        <v>607</v>
      </c>
      <c r="M194" s="28">
        <v>22103</v>
      </c>
      <c r="N194" s="30">
        <f t="shared" si="5"/>
        <v>2.7462335429579696E-2</v>
      </c>
      <c r="Q194" s="100"/>
      <c r="R194" s="100"/>
    </row>
    <row r="195" spans="1:18" ht="15" thickBot="1">
      <c r="A195" s="15" t="s">
        <v>17</v>
      </c>
      <c r="B195" s="68">
        <f>(Posts!F195+Posts!I195+Posts!K195)</f>
        <v>61419</v>
      </c>
      <c r="I195" s="69" t="s">
        <v>17</v>
      </c>
      <c r="J195" s="27" t="s">
        <v>23</v>
      </c>
      <c r="K195" s="29">
        <v>6.52</v>
      </c>
      <c r="L195" s="104">
        <f t="shared" ref="L195:L258" si="6">K195*100</f>
        <v>652</v>
      </c>
      <c r="M195" s="28">
        <v>11625</v>
      </c>
      <c r="N195" s="30">
        <f t="shared" ref="N195:N201" si="7">L195/M195</f>
        <v>5.6086021505376345E-2</v>
      </c>
      <c r="Q195" s="100"/>
      <c r="R195" s="100"/>
    </row>
    <row r="196" spans="1:18" ht="15" thickBot="1">
      <c r="A196" s="15" t="s">
        <v>21</v>
      </c>
      <c r="B196" s="68">
        <f>(Posts!F196+Posts!I196+Posts!K196)</f>
        <v>44103</v>
      </c>
      <c r="I196" s="69" t="s">
        <v>21</v>
      </c>
      <c r="J196" s="27" t="s">
        <v>28</v>
      </c>
      <c r="K196" s="29">
        <v>3.08</v>
      </c>
      <c r="L196" s="104">
        <f t="shared" si="6"/>
        <v>308</v>
      </c>
      <c r="M196" s="28">
        <v>5281</v>
      </c>
      <c r="N196" s="30">
        <f t="shared" si="7"/>
        <v>5.8322287445559555E-2</v>
      </c>
      <c r="Q196" s="100"/>
      <c r="R196" s="100"/>
    </row>
    <row r="197" spans="1:18" ht="15" thickBot="1">
      <c r="A197" s="15" t="s">
        <v>17</v>
      </c>
      <c r="B197" s="68">
        <f>(Posts!F197+Posts!I197+Posts!K197)</f>
        <v>50853</v>
      </c>
      <c r="I197" s="69" t="s">
        <v>17</v>
      </c>
      <c r="J197" s="27" t="s">
        <v>14</v>
      </c>
      <c r="K197" s="29">
        <v>5.34</v>
      </c>
      <c r="L197" s="104">
        <f t="shared" si="6"/>
        <v>534</v>
      </c>
      <c r="M197" s="28">
        <v>13424</v>
      </c>
      <c r="N197" s="30">
        <f t="shared" si="7"/>
        <v>3.977949940405244E-2</v>
      </c>
      <c r="Q197" s="100"/>
      <c r="R197" s="100"/>
    </row>
    <row r="198" spans="1:18" ht="15" thickBot="1">
      <c r="A198" s="15" t="s">
        <v>21</v>
      </c>
      <c r="B198" s="68">
        <f>(Posts!F198+Posts!I198+Posts!K198)</f>
        <v>61180</v>
      </c>
      <c r="I198" s="69" t="s">
        <v>21</v>
      </c>
      <c r="J198" s="27" t="s">
        <v>23</v>
      </c>
      <c r="K198" s="29">
        <v>3.65</v>
      </c>
      <c r="L198" s="104">
        <f t="shared" si="6"/>
        <v>365</v>
      </c>
      <c r="M198" s="28">
        <v>13140</v>
      </c>
      <c r="N198" s="30">
        <f t="shared" si="7"/>
        <v>2.7777777777777776E-2</v>
      </c>
      <c r="Q198" s="100"/>
      <c r="R198" s="100"/>
    </row>
    <row r="199" spans="1:18" ht="15" thickBot="1">
      <c r="A199" s="15" t="s">
        <v>17</v>
      </c>
      <c r="B199" s="68">
        <f>(Posts!F199+Posts!I199+Posts!K199)</f>
        <v>45087</v>
      </c>
      <c r="I199" s="69" t="s">
        <v>17</v>
      </c>
      <c r="J199" s="27" t="s">
        <v>28</v>
      </c>
      <c r="K199" s="29">
        <v>4.18</v>
      </c>
      <c r="L199" s="104">
        <f t="shared" si="6"/>
        <v>418</v>
      </c>
      <c r="M199" s="28">
        <v>19538</v>
      </c>
      <c r="N199" s="30">
        <f t="shared" si="7"/>
        <v>2.1394206162350292E-2</v>
      </c>
      <c r="Q199" s="100"/>
      <c r="R199" s="100"/>
    </row>
    <row r="200" spans="1:18" ht="15" thickBot="1">
      <c r="A200" s="15" t="s">
        <v>17</v>
      </c>
      <c r="B200" s="68">
        <f>(Posts!F200+Posts!I200+Posts!K200)</f>
        <v>37514</v>
      </c>
      <c r="I200" s="69" t="s">
        <v>17</v>
      </c>
      <c r="J200" s="27" t="s">
        <v>14</v>
      </c>
      <c r="K200" s="29">
        <v>3.91</v>
      </c>
      <c r="L200" s="104">
        <f t="shared" si="6"/>
        <v>391</v>
      </c>
      <c r="M200" s="28">
        <v>7881</v>
      </c>
      <c r="N200" s="30">
        <f t="shared" si="7"/>
        <v>4.9612993274965107E-2</v>
      </c>
      <c r="Q200" s="100"/>
      <c r="R200" s="100"/>
    </row>
    <row r="201" spans="1:18" ht="15" thickBot="1">
      <c r="A201" s="15" t="s">
        <v>17</v>
      </c>
      <c r="B201" s="68">
        <f>(Posts!F201+Posts!I201+Posts!K201)</f>
        <v>58519</v>
      </c>
      <c r="I201" s="69" t="s">
        <v>17</v>
      </c>
      <c r="J201" s="27" t="s">
        <v>23</v>
      </c>
      <c r="K201" s="29">
        <v>5.12</v>
      </c>
      <c r="L201" s="104">
        <f t="shared" si="6"/>
        <v>512</v>
      </c>
      <c r="M201" s="28">
        <v>11418</v>
      </c>
      <c r="N201" s="30">
        <f t="shared" si="7"/>
        <v>4.4841478367489931E-2</v>
      </c>
      <c r="Q201" s="100"/>
      <c r="R201" s="100"/>
    </row>
    <row r="202" spans="1:18" ht="15" thickBot="1">
      <c r="A202" s="15" t="s">
        <v>17</v>
      </c>
      <c r="B202" s="68">
        <f>(Posts!F202+Posts!I202+Posts!K202)</f>
        <v>37412</v>
      </c>
      <c r="I202" s="69" t="s">
        <v>17</v>
      </c>
      <c r="L202" s="104">
        <f t="shared" si="6"/>
        <v>0</v>
      </c>
    </row>
    <row r="203" spans="1:18" ht="15" thickBot="1">
      <c r="A203" s="15" t="s">
        <v>17</v>
      </c>
      <c r="B203" s="68">
        <f>(Posts!F203+Posts!I203+Posts!K203)</f>
        <v>27413</v>
      </c>
      <c r="I203" s="69" t="s">
        <v>17</v>
      </c>
      <c r="L203" s="104">
        <f t="shared" si="6"/>
        <v>0</v>
      </c>
    </row>
    <row r="204" spans="1:18" ht="15" thickBot="1">
      <c r="A204" s="15" t="s">
        <v>21</v>
      </c>
      <c r="B204" s="68">
        <f>(Posts!F204+Posts!I204+Posts!K204)</f>
        <v>33162</v>
      </c>
      <c r="I204" s="69" t="s">
        <v>21</v>
      </c>
      <c r="L204" s="104">
        <f t="shared" si="6"/>
        <v>0</v>
      </c>
    </row>
    <row r="205" spans="1:18" ht="15" thickBot="1">
      <c r="A205" s="15" t="s">
        <v>17</v>
      </c>
      <c r="B205" s="68">
        <f>(Posts!F205+Posts!I205+Posts!K205)</f>
        <v>51739</v>
      </c>
      <c r="I205" s="69" t="s">
        <v>17</v>
      </c>
      <c r="L205" s="104">
        <f t="shared" si="6"/>
        <v>0</v>
      </c>
    </row>
    <row r="206" spans="1:18" ht="15" thickBot="1">
      <c r="A206" s="15" t="s">
        <v>21</v>
      </c>
      <c r="B206" s="68">
        <f>(Posts!F206+Posts!I206+Posts!K206)</f>
        <v>58501</v>
      </c>
      <c r="I206" s="69" t="s">
        <v>21</v>
      </c>
      <c r="L206" s="104">
        <f t="shared" si="6"/>
        <v>0</v>
      </c>
    </row>
    <row r="207" spans="1:18" ht="15" thickBot="1">
      <c r="A207" s="15" t="s">
        <v>17</v>
      </c>
      <c r="B207" s="68">
        <f>(Posts!F207+Posts!I207+Posts!K207)</f>
        <v>61780</v>
      </c>
      <c r="I207" s="69" t="s">
        <v>17</v>
      </c>
      <c r="L207" s="104">
        <f t="shared" si="6"/>
        <v>0</v>
      </c>
    </row>
    <row r="208" spans="1:18" ht="15" thickBot="1">
      <c r="A208" s="15" t="s">
        <v>17</v>
      </c>
      <c r="B208" s="68">
        <f>(Posts!F208+Posts!I208+Posts!K208)</f>
        <v>54531</v>
      </c>
      <c r="I208" s="69" t="s">
        <v>17</v>
      </c>
      <c r="L208" s="104">
        <f t="shared" si="6"/>
        <v>0</v>
      </c>
    </row>
    <row r="209" spans="1:12" ht="15" thickBot="1">
      <c r="A209" s="15" t="s">
        <v>21</v>
      </c>
      <c r="B209" s="68">
        <f>(Posts!F209+Posts!I209+Posts!K209)</f>
        <v>55865</v>
      </c>
      <c r="I209" s="69" t="s">
        <v>21</v>
      </c>
      <c r="L209" s="104">
        <f t="shared" si="6"/>
        <v>0</v>
      </c>
    </row>
    <row r="210" spans="1:12" ht="15" thickBot="1">
      <c r="A210" s="15" t="s">
        <v>17</v>
      </c>
      <c r="B210" s="68">
        <f>(Posts!F210+Posts!I210+Posts!K210)</f>
        <v>47202</v>
      </c>
      <c r="I210" s="69" t="s">
        <v>17</v>
      </c>
      <c r="L210" s="104">
        <f t="shared" si="6"/>
        <v>0</v>
      </c>
    </row>
    <row r="211" spans="1:12" ht="15" thickBot="1">
      <c r="A211" s="15" t="s">
        <v>17</v>
      </c>
      <c r="B211" s="68">
        <f>(Posts!F211+Posts!I211+Posts!K211)</f>
        <v>48514</v>
      </c>
      <c r="I211" s="69" t="s">
        <v>17</v>
      </c>
      <c r="L211" s="104">
        <f t="shared" si="6"/>
        <v>0</v>
      </c>
    </row>
    <row r="212" spans="1:12" ht="15" thickBot="1">
      <c r="A212" s="15" t="s">
        <v>17</v>
      </c>
      <c r="B212" s="68">
        <f>(Posts!F212+Posts!I212+Posts!K212)</f>
        <v>49877</v>
      </c>
      <c r="I212" s="69" t="s">
        <v>17</v>
      </c>
      <c r="L212" s="104">
        <f t="shared" si="6"/>
        <v>0</v>
      </c>
    </row>
    <row r="213" spans="1:12" ht="15" thickBot="1">
      <c r="A213" s="15" t="s">
        <v>17</v>
      </c>
      <c r="B213" s="68">
        <f>(Posts!F213+Posts!I213+Posts!K213)</f>
        <v>56270</v>
      </c>
      <c r="I213" s="69" t="s">
        <v>17</v>
      </c>
      <c r="L213" s="104">
        <f t="shared" si="6"/>
        <v>0</v>
      </c>
    </row>
    <row r="214" spans="1:12" ht="15" thickBot="1">
      <c r="A214" s="15" t="s">
        <v>47</v>
      </c>
      <c r="B214" s="68">
        <f>(Posts!F214+Posts!I214+Posts!K214)</f>
        <v>36723</v>
      </c>
      <c r="I214" s="69" t="s">
        <v>47</v>
      </c>
      <c r="L214" s="104">
        <f t="shared" si="6"/>
        <v>0</v>
      </c>
    </row>
    <row r="215" spans="1:12" ht="15" thickBot="1">
      <c r="A215" s="15" t="s">
        <v>21</v>
      </c>
      <c r="B215" s="68">
        <f>(Posts!F215+Posts!I215+Posts!K215)</f>
        <v>26042</v>
      </c>
      <c r="I215" s="69" t="s">
        <v>21</v>
      </c>
      <c r="L215" s="104">
        <f t="shared" si="6"/>
        <v>0</v>
      </c>
    </row>
    <row r="216" spans="1:12" ht="15" thickBot="1">
      <c r="A216" s="15" t="s">
        <v>21</v>
      </c>
      <c r="B216" s="68">
        <f>(Posts!F216+Posts!I216+Posts!K216)</f>
        <v>40310</v>
      </c>
      <c r="I216" s="69" t="s">
        <v>21</v>
      </c>
      <c r="L216" s="104">
        <f t="shared" si="6"/>
        <v>0</v>
      </c>
    </row>
    <row r="217" spans="1:12" ht="15" thickBot="1">
      <c r="A217" s="15" t="s">
        <v>21</v>
      </c>
      <c r="B217" s="68">
        <f>(Posts!F217+Posts!I217+Posts!K217)</f>
        <v>43252</v>
      </c>
      <c r="I217" s="69" t="s">
        <v>21</v>
      </c>
      <c r="L217" s="104">
        <f t="shared" si="6"/>
        <v>0</v>
      </c>
    </row>
    <row r="218" spans="1:12" ht="15" thickBot="1">
      <c r="A218" s="15" t="s">
        <v>17</v>
      </c>
      <c r="B218" s="68">
        <f>(Posts!F218+Posts!I218+Posts!K218)</f>
        <v>28411</v>
      </c>
      <c r="I218" s="69" t="s">
        <v>17</v>
      </c>
      <c r="L218" s="104">
        <f t="shared" si="6"/>
        <v>0</v>
      </c>
    </row>
    <row r="219" spans="1:12" ht="15" thickBot="1">
      <c r="A219" s="15" t="s">
        <v>17</v>
      </c>
      <c r="B219" s="68">
        <f>(Posts!F219+Posts!I219+Posts!K219)</f>
        <v>44143</v>
      </c>
      <c r="I219" s="69" t="s">
        <v>17</v>
      </c>
      <c r="L219" s="104">
        <f t="shared" si="6"/>
        <v>0</v>
      </c>
    </row>
    <row r="220" spans="1:12" ht="15" thickBot="1">
      <c r="A220" s="15" t="s">
        <v>21</v>
      </c>
      <c r="B220" s="68">
        <f>(Posts!F220+Posts!I220+Posts!K220)</f>
        <v>53306</v>
      </c>
      <c r="I220" s="69" t="s">
        <v>21</v>
      </c>
      <c r="L220" s="104">
        <f t="shared" si="6"/>
        <v>0</v>
      </c>
    </row>
    <row r="221" spans="1:12" ht="15" thickBot="1">
      <c r="A221" s="15" t="s">
        <v>21</v>
      </c>
      <c r="B221" s="68">
        <f>(Posts!F221+Posts!I221+Posts!K221)</f>
        <v>41196</v>
      </c>
      <c r="I221" s="69" t="s">
        <v>21</v>
      </c>
      <c r="L221" s="104">
        <f t="shared" si="6"/>
        <v>0</v>
      </c>
    </row>
    <row r="222" spans="1:12" ht="15" thickBot="1">
      <c r="A222" s="15" t="s">
        <v>17</v>
      </c>
      <c r="B222" s="68">
        <f>(Posts!F222+Posts!I222+Posts!K222)</f>
        <v>29307</v>
      </c>
      <c r="I222" s="69" t="s">
        <v>17</v>
      </c>
      <c r="L222" s="104">
        <f t="shared" si="6"/>
        <v>0</v>
      </c>
    </row>
    <row r="223" spans="1:12" ht="15" thickBot="1">
      <c r="A223" s="15" t="s">
        <v>17</v>
      </c>
      <c r="B223" s="68">
        <f>(Posts!F223+Posts!I223+Posts!K223)</f>
        <v>48557</v>
      </c>
      <c r="I223" s="69" t="s">
        <v>17</v>
      </c>
      <c r="L223" s="104">
        <f t="shared" si="6"/>
        <v>0</v>
      </c>
    </row>
    <row r="224" spans="1:12" ht="15" thickBot="1">
      <c r="A224" s="15" t="s">
        <v>21</v>
      </c>
      <c r="B224" s="68">
        <f>(Posts!F224+Posts!I224+Posts!K224)</f>
        <v>55727</v>
      </c>
      <c r="I224" s="69" t="s">
        <v>21</v>
      </c>
      <c r="L224" s="104">
        <f t="shared" si="6"/>
        <v>0</v>
      </c>
    </row>
    <row r="225" spans="1:12" ht="15" thickBot="1">
      <c r="A225" s="15" t="s">
        <v>17</v>
      </c>
      <c r="B225" s="68">
        <f>(Posts!F225+Posts!I225+Posts!K225)</f>
        <v>50036</v>
      </c>
      <c r="I225" s="69" t="s">
        <v>17</v>
      </c>
      <c r="L225" s="104">
        <f t="shared" si="6"/>
        <v>0</v>
      </c>
    </row>
    <row r="226" spans="1:12" ht="15" thickBot="1">
      <c r="A226" s="15" t="s">
        <v>21</v>
      </c>
      <c r="B226" s="68">
        <f>(Posts!F226+Posts!I226+Posts!K226)</f>
        <v>42263</v>
      </c>
      <c r="I226" s="69" t="s">
        <v>21</v>
      </c>
      <c r="L226" s="104">
        <f t="shared" si="6"/>
        <v>0</v>
      </c>
    </row>
    <row r="227" spans="1:12" ht="15" thickBot="1">
      <c r="A227" s="15" t="s">
        <v>17</v>
      </c>
      <c r="B227" s="68">
        <f>(Posts!F227+Posts!I227+Posts!K227)</f>
        <v>57377</v>
      </c>
      <c r="I227" s="69" t="s">
        <v>17</v>
      </c>
      <c r="L227" s="104">
        <f t="shared" si="6"/>
        <v>0</v>
      </c>
    </row>
    <row r="228" spans="1:12" ht="15" thickBot="1">
      <c r="A228" s="15" t="s">
        <v>21</v>
      </c>
      <c r="B228" s="68">
        <f>(Posts!F228+Posts!I228+Posts!K228)</f>
        <v>41557</v>
      </c>
      <c r="I228" s="69" t="s">
        <v>21</v>
      </c>
      <c r="L228" s="104">
        <f t="shared" si="6"/>
        <v>0</v>
      </c>
    </row>
    <row r="229" spans="1:12" ht="15" thickBot="1">
      <c r="A229" s="15" t="s">
        <v>50</v>
      </c>
      <c r="B229" s="68">
        <f>(Posts!F229+Posts!I229+Posts!K229)</f>
        <v>58355</v>
      </c>
      <c r="I229" s="69" t="s">
        <v>50</v>
      </c>
      <c r="L229" s="104">
        <f t="shared" si="6"/>
        <v>0</v>
      </c>
    </row>
    <row r="230" spans="1:12" ht="15" thickBot="1">
      <c r="A230" s="15" t="s">
        <v>21</v>
      </c>
      <c r="B230" s="68">
        <f>(Posts!F230+Posts!I230+Posts!K230)</f>
        <v>61786</v>
      </c>
      <c r="I230" s="69" t="s">
        <v>21</v>
      </c>
      <c r="L230" s="104">
        <f t="shared" si="6"/>
        <v>0</v>
      </c>
    </row>
    <row r="231" spans="1:12" ht="15" thickBot="1">
      <c r="A231" s="15" t="s">
        <v>21</v>
      </c>
      <c r="B231" s="68">
        <f>(Posts!F231+Posts!I231+Posts!K231)</f>
        <v>49443</v>
      </c>
      <c r="I231" s="69" t="s">
        <v>21</v>
      </c>
      <c r="L231" s="104">
        <f t="shared" si="6"/>
        <v>0</v>
      </c>
    </row>
    <row r="232" spans="1:12" ht="15" thickBot="1">
      <c r="A232" s="15" t="s">
        <v>17</v>
      </c>
      <c r="B232" s="68">
        <f>(Posts!F232+Posts!I232+Posts!K232)</f>
        <v>31733</v>
      </c>
      <c r="I232" s="69" t="s">
        <v>17</v>
      </c>
      <c r="L232" s="104">
        <f t="shared" si="6"/>
        <v>0</v>
      </c>
    </row>
    <row r="233" spans="1:12" ht="15" thickBot="1">
      <c r="A233" s="15" t="s">
        <v>21</v>
      </c>
      <c r="B233" s="68">
        <f>(Posts!F233+Posts!I233+Posts!K233)</f>
        <v>49206</v>
      </c>
      <c r="I233" s="69" t="s">
        <v>21</v>
      </c>
      <c r="L233" s="104">
        <f t="shared" si="6"/>
        <v>0</v>
      </c>
    </row>
    <row r="234" spans="1:12" ht="15" thickBot="1">
      <c r="A234" s="15" t="s">
        <v>17</v>
      </c>
      <c r="B234" s="68">
        <f>(Posts!F234+Posts!I234+Posts!K234)</f>
        <v>42067</v>
      </c>
      <c r="I234" s="69" t="s">
        <v>17</v>
      </c>
      <c r="L234" s="104">
        <f t="shared" si="6"/>
        <v>0</v>
      </c>
    </row>
    <row r="235" spans="1:12" ht="15" thickBot="1">
      <c r="A235" s="15" t="s">
        <v>17</v>
      </c>
      <c r="B235" s="68">
        <f>(Posts!F235+Posts!I235+Posts!K235)</f>
        <v>29208</v>
      </c>
      <c r="I235" s="69" t="s">
        <v>17</v>
      </c>
      <c r="L235" s="104">
        <f t="shared" si="6"/>
        <v>0</v>
      </c>
    </row>
    <row r="236" spans="1:12" ht="15" thickBot="1">
      <c r="A236" s="15" t="s">
        <v>21</v>
      </c>
      <c r="B236" s="68">
        <f>(Posts!F236+Posts!I236+Posts!K236)</f>
        <v>44064</v>
      </c>
      <c r="I236" s="69" t="s">
        <v>21</v>
      </c>
      <c r="L236" s="104">
        <f t="shared" si="6"/>
        <v>0</v>
      </c>
    </row>
    <row r="237" spans="1:12" ht="15" thickBot="1">
      <c r="A237" s="15" t="s">
        <v>21</v>
      </c>
      <c r="B237" s="68">
        <f>(Posts!F237+Posts!I237+Posts!K237)</f>
        <v>38909</v>
      </c>
      <c r="I237" s="69" t="s">
        <v>21</v>
      </c>
      <c r="L237" s="104">
        <f t="shared" si="6"/>
        <v>0</v>
      </c>
    </row>
    <row r="238" spans="1:12" ht="15" thickBot="1">
      <c r="A238" s="15" t="s">
        <v>21</v>
      </c>
      <c r="B238" s="68">
        <f>(Posts!F238+Posts!I238+Posts!K238)</f>
        <v>43997</v>
      </c>
      <c r="I238" s="69" t="s">
        <v>21</v>
      </c>
      <c r="L238" s="104">
        <f t="shared" si="6"/>
        <v>0</v>
      </c>
    </row>
    <row r="239" spans="1:12" ht="15" thickBot="1">
      <c r="A239" s="15" t="s">
        <v>17</v>
      </c>
      <c r="B239" s="68">
        <f>(Posts!F239+Posts!I239+Posts!K239)</f>
        <v>61964</v>
      </c>
      <c r="I239" s="69" t="s">
        <v>17</v>
      </c>
      <c r="L239" s="104">
        <f t="shared" si="6"/>
        <v>0</v>
      </c>
    </row>
    <row r="240" spans="1:12" ht="15" thickBot="1">
      <c r="A240" s="15" t="s">
        <v>17</v>
      </c>
      <c r="B240" s="68">
        <f>(Posts!F240+Posts!I240+Posts!K240)</f>
        <v>38044</v>
      </c>
      <c r="I240" s="69" t="s">
        <v>17</v>
      </c>
      <c r="L240" s="104">
        <f t="shared" si="6"/>
        <v>0</v>
      </c>
    </row>
    <row r="241" spans="1:12" ht="15" thickBot="1">
      <c r="A241" s="15" t="s">
        <v>21</v>
      </c>
      <c r="B241" s="68">
        <f>(Posts!F241+Posts!I241+Posts!K241)</f>
        <v>57397</v>
      </c>
      <c r="I241" s="69" t="s">
        <v>21</v>
      </c>
      <c r="L241" s="104">
        <f t="shared" si="6"/>
        <v>0</v>
      </c>
    </row>
    <row r="242" spans="1:12" ht="15" thickBot="1">
      <c r="A242" s="15" t="s">
        <v>17</v>
      </c>
      <c r="B242" s="68">
        <f>(Posts!F242+Posts!I242+Posts!K242)</f>
        <v>55572</v>
      </c>
      <c r="I242" s="69" t="s">
        <v>17</v>
      </c>
      <c r="L242" s="104">
        <f t="shared" si="6"/>
        <v>0</v>
      </c>
    </row>
    <row r="243" spans="1:12" ht="15" thickBot="1">
      <c r="A243" s="15" t="s">
        <v>17</v>
      </c>
      <c r="B243" s="68">
        <f>(Posts!F243+Posts!I243+Posts!K243)</f>
        <v>40228</v>
      </c>
      <c r="I243" s="69" t="s">
        <v>17</v>
      </c>
      <c r="L243" s="104">
        <f t="shared" si="6"/>
        <v>0</v>
      </c>
    </row>
    <row r="244" spans="1:12" ht="15" thickBot="1">
      <c r="A244" s="15" t="s">
        <v>17</v>
      </c>
      <c r="B244" s="68">
        <f>(Posts!F244+Posts!I244+Posts!K244)</f>
        <v>30426</v>
      </c>
      <c r="I244" s="69" t="s">
        <v>17</v>
      </c>
      <c r="L244" s="104">
        <f t="shared" si="6"/>
        <v>0</v>
      </c>
    </row>
    <row r="245" spans="1:12" ht="15" thickBot="1">
      <c r="A245" s="15" t="s">
        <v>21</v>
      </c>
      <c r="B245" s="68">
        <f>(Posts!F245+Posts!I245+Posts!K245)</f>
        <v>62002</v>
      </c>
      <c r="I245" s="69" t="s">
        <v>21</v>
      </c>
      <c r="L245" s="104">
        <f t="shared" si="6"/>
        <v>0</v>
      </c>
    </row>
    <row r="246" spans="1:12" ht="15" thickBot="1">
      <c r="A246" s="15" t="s">
        <v>17</v>
      </c>
      <c r="B246" s="68">
        <f>(Posts!F246+Posts!I246+Posts!K246)</f>
        <v>50355</v>
      </c>
      <c r="I246" s="69" t="s">
        <v>17</v>
      </c>
      <c r="L246" s="104">
        <f t="shared" si="6"/>
        <v>0</v>
      </c>
    </row>
    <row r="247" spans="1:12" ht="15" thickBot="1">
      <c r="A247" s="15" t="s">
        <v>17</v>
      </c>
      <c r="B247" s="68">
        <f>(Posts!F247+Posts!I247+Posts!K247)</f>
        <v>23788</v>
      </c>
      <c r="I247" s="69" t="s">
        <v>17</v>
      </c>
      <c r="L247" s="104">
        <f t="shared" si="6"/>
        <v>0</v>
      </c>
    </row>
    <row r="248" spans="1:12" ht="15" thickBot="1">
      <c r="A248" s="15" t="s">
        <v>17</v>
      </c>
      <c r="B248" s="68">
        <f>(Posts!F248+Posts!I248+Posts!K248)</f>
        <v>60236</v>
      </c>
      <c r="I248" s="69" t="s">
        <v>17</v>
      </c>
      <c r="L248" s="104">
        <f t="shared" si="6"/>
        <v>0</v>
      </c>
    </row>
    <row r="249" spans="1:12" ht="15" thickBot="1">
      <c r="A249" s="15" t="s">
        <v>50</v>
      </c>
      <c r="B249" s="68">
        <f>(Posts!F249+Posts!I249+Posts!K249)</f>
        <v>32858</v>
      </c>
      <c r="I249" s="69" t="s">
        <v>50</v>
      </c>
      <c r="L249" s="104">
        <f t="shared" si="6"/>
        <v>0</v>
      </c>
    </row>
    <row r="250" spans="1:12" ht="15" thickBot="1">
      <c r="A250" s="15" t="s">
        <v>21</v>
      </c>
      <c r="B250" s="68">
        <f>(Posts!F250+Posts!I250+Posts!K250)</f>
        <v>30195</v>
      </c>
      <c r="I250" s="69" t="s">
        <v>21</v>
      </c>
      <c r="L250" s="104">
        <f t="shared" si="6"/>
        <v>0</v>
      </c>
    </row>
    <row r="251" spans="1:12" ht="15" thickBot="1">
      <c r="A251" s="15" t="s">
        <v>17</v>
      </c>
      <c r="B251" s="68">
        <f>(Posts!F251+Posts!I251+Posts!K251)</f>
        <v>34720</v>
      </c>
      <c r="I251" s="69" t="s">
        <v>17</v>
      </c>
      <c r="L251" s="104">
        <f t="shared" si="6"/>
        <v>0</v>
      </c>
    </row>
    <row r="252" spans="1:12" ht="15" thickBot="1">
      <c r="A252" s="15" t="s">
        <v>21</v>
      </c>
      <c r="B252" s="68">
        <f>(Posts!F252+Posts!I252+Posts!K252)</f>
        <v>59929</v>
      </c>
      <c r="I252" s="69" t="s">
        <v>21</v>
      </c>
      <c r="L252" s="104">
        <f t="shared" si="6"/>
        <v>0</v>
      </c>
    </row>
    <row r="253" spans="1:12" ht="15" thickBot="1">
      <c r="A253" s="15" t="s">
        <v>21</v>
      </c>
      <c r="B253" s="68">
        <f>(Posts!F253+Posts!I253+Posts!K253)</f>
        <v>50841</v>
      </c>
      <c r="I253" s="69" t="s">
        <v>21</v>
      </c>
      <c r="L253" s="104">
        <f t="shared" si="6"/>
        <v>0</v>
      </c>
    </row>
    <row r="254" spans="1:12" ht="15" thickBot="1">
      <c r="A254" s="15" t="s">
        <v>21</v>
      </c>
      <c r="B254" s="68">
        <f>(Posts!F254+Posts!I254+Posts!K254)</f>
        <v>51654</v>
      </c>
      <c r="I254" s="69" t="s">
        <v>21</v>
      </c>
      <c r="L254" s="104">
        <f t="shared" si="6"/>
        <v>0</v>
      </c>
    </row>
    <row r="255" spans="1:12" ht="15" thickBot="1">
      <c r="A255" s="15" t="s">
        <v>17</v>
      </c>
      <c r="B255" s="68">
        <f>(Posts!F255+Posts!I255+Posts!K255)</f>
        <v>39688</v>
      </c>
      <c r="I255" s="69" t="s">
        <v>17</v>
      </c>
      <c r="L255" s="104">
        <f t="shared" si="6"/>
        <v>0</v>
      </c>
    </row>
    <row r="256" spans="1:12" ht="15" thickBot="1">
      <c r="A256" s="15" t="s">
        <v>17</v>
      </c>
      <c r="B256" s="68">
        <f>(Posts!F256+Posts!I256+Posts!K256)</f>
        <v>51700</v>
      </c>
      <c r="I256" s="69" t="s">
        <v>17</v>
      </c>
      <c r="L256" s="104">
        <f t="shared" si="6"/>
        <v>0</v>
      </c>
    </row>
    <row r="257" spans="1:12" ht="15" thickBot="1">
      <c r="A257" s="15" t="s">
        <v>17</v>
      </c>
      <c r="B257" s="68">
        <f>(Posts!F257+Posts!I257+Posts!K257)</f>
        <v>55095</v>
      </c>
      <c r="I257" s="69" t="s">
        <v>17</v>
      </c>
      <c r="L257" s="104">
        <f t="shared" si="6"/>
        <v>0</v>
      </c>
    </row>
    <row r="258" spans="1:12" ht="15" thickBot="1">
      <c r="A258" s="15" t="s">
        <v>17</v>
      </c>
      <c r="B258" s="68">
        <f>(Posts!F258+Posts!I258+Posts!K258)</f>
        <v>48365</v>
      </c>
      <c r="I258" s="69" t="s">
        <v>17</v>
      </c>
      <c r="L258" s="104">
        <f t="shared" si="6"/>
        <v>0</v>
      </c>
    </row>
    <row r="259" spans="1:12" ht="15" thickBot="1">
      <c r="A259" s="15" t="s">
        <v>50</v>
      </c>
      <c r="B259" s="68">
        <f>(Posts!F259+Posts!I259+Posts!K259)</f>
        <v>54719</v>
      </c>
      <c r="I259" s="69" t="s">
        <v>50</v>
      </c>
      <c r="L259" s="104">
        <f t="shared" ref="L259:L301" si="8">K259*100</f>
        <v>0</v>
      </c>
    </row>
    <row r="260" spans="1:12" ht="15" thickBot="1">
      <c r="A260" s="15" t="s">
        <v>17</v>
      </c>
      <c r="B260" s="68">
        <f>(Posts!F260+Posts!I260+Posts!K260)</f>
        <v>33929</v>
      </c>
      <c r="I260" s="69" t="s">
        <v>17</v>
      </c>
      <c r="L260" s="104">
        <f t="shared" si="8"/>
        <v>0</v>
      </c>
    </row>
    <row r="261" spans="1:12" ht="15" thickBot="1">
      <c r="A261" s="15" t="s">
        <v>17</v>
      </c>
      <c r="B261" s="68">
        <f>(Posts!F261+Posts!I261+Posts!K261)</f>
        <v>46838</v>
      </c>
      <c r="I261" s="69" t="s">
        <v>17</v>
      </c>
      <c r="L261" s="104">
        <f t="shared" si="8"/>
        <v>0</v>
      </c>
    </row>
    <row r="262" spans="1:12" ht="15" thickBot="1">
      <c r="A262" s="15" t="s">
        <v>21</v>
      </c>
      <c r="B262" s="68">
        <f>(Posts!F262+Posts!I262+Posts!K262)</f>
        <v>54902</v>
      </c>
      <c r="I262" s="69" t="s">
        <v>21</v>
      </c>
      <c r="L262" s="104">
        <f t="shared" si="8"/>
        <v>0</v>
      </c>
    </row>
    <row r="263" spans="1:12" ht="15" thickBot="1">
      <c r="A263" s="15" t="s">
        <v>17</v>
      </c>
      <c r="B263" s="68">
        <f>(Posts!F263+Posts!I263+Posts!K263)</f>
        <v>49523</v>
      </c>
      <c r="I263" s="69" t="s">
        <v>17</v>
      </c>
      <c r="L263" s="104">
        <f t="shared" si="8"/>
        <v>0</v>
      </c>
    </row>
    <row r="264" spans="1:12" ht="15" thickBot="1">
      <c r="A264" s="15" t="s">
        <v>21</v>
      </c>
      <c r="B264" s="68">
        <f>(Posts!F264+Posts!I264+Posts!K264)</f>
        <v>54175</v>
      </c>
      <c r="I264" s="69" t="s">
        <v>21</v>
      </c>
      <c r="L264" s="104">
        <f t="shared" si="8"/>
        <v>0</v>
      </c>
    </row>
    <row r="265" spans="1:12" ht="15" thickBot="1">
      <c r="A265" s="15" t="s">
        <v>50</v>
      </c>
      <c r="B265" s="68">
        <f>(Posts!F265+Posts!I265+Posts!K265)</f>
        <v>49066</v>
      </c>
      <c r="I265" s="69" t="s">
        <v>50</v>
      </c>
      <c r="L265" s="104">
        <f t="shared" si="8"/>
        <v>0</v>
      </c>
    </row>
    <row r="266" spans="1:12" ht="15" thickBot="1">
      <c r="A266" s="15" t="s">
        <v>17</v>
      </c>
      <c r="B266" s="68">
        <f>(Posts!F266+Posts!I266+Posts!K266)</f>
        <v>54643</v>
      </c>
      <c r="I266" s="69" t="s">
        <v>17</v>
      </c>
      <c r="L266" s="104">
        <f t="shared" si="8"/>
        <v>0</v>
      </c>
    </row>
    <row r="267" spans="1:12" ht="15" thickBot="1">
      <c r="A267" s="15" t="s">
        <v>47</v>
      </c>
      <c r="B267" s="68">
        <f>(Posts!F267+Posts!I267+Posts!K267)</f>
        <v>28431</v>
      </c>
      <c r="I267" s="69" t="s">
        <v>47</v>
      </c>
      <c r="L267" s="104">
        <f t="shared" si="8"/>
        <v>0</v>
      </c>
    </row>
    <row r="268" spans="1:12" ht="15" thickBot="1">
      <c r="A268" s="15" t="s">
        <v>21</v>
      </c>
      <c r="B268" s="68">
        <f>(Posts!F268+Posts!I268+Posts!K268)</f>
        <v>50836</v>
      </c>
      <c r="I268" s="69" t="s">
        <v>21</v>
      </c>
      <c r="L268" s="104">
        <f t="shared" si="8"/>
        <v>0</v>
      </c>
    </row>
    <row r="269" spans="1:12" ht="15" thickBot="1">
      <c r="A269" s="15" t="s">
        <v>50</v>
      </c>
      <c r="B269" s="68">
        <f>(Posts!F269+Posts!I269+Posts!K269)</f>
        <v>48595</v>
      </c>
      <c r="I269" s="69" t="s">
        <v>50</v>
      </c>
      <c r="L269" s="104">
        <f t="shared" si="8"/>
        <v>0</v>
      </c>
    </row>
    <row r="270" spans="1:12" ht="15" thickBot="1">
      <c r="A270" s="15" t="s">
        <v>50</v>
      </c>
      <c r="B270" s="68">
        <f>(Posts!F270+Posts!I270+Posts!K270)</f>
        <v>61805</v>
      </c>
      <c r="I270" s="69" t="s">
        <v>50</v>
      </c>
      <c r="L270" s="104">
        <f t="shared" si="8"/>
        <v>0</v>
      </c>
    </row>
    <row r="271" spans="1:12" ht="15" thickBot="1">
      <c r="A271" s="15" t="s">
        <v>17</v>
      </c>
      <c r="B271" s="68">
        <f>(Posts!F271+Posts!I271+Posts!K271)</f>
        <v>60597</v>
      </c>
      <c r="I271" s="69" t="s">
        <v>17</v>
      </c>
      <c r="L271" s="104">
        <f t="shared" si="8"/>
        <v>0</v>
      </c>
    </row>
    <row r="272" spans="1:12" ht="15" thickBot="1">
      <c r="A272" s="15" t="s">
        <v>17</v>
      </c>
      <c r="B272" s="68">
        <f>(Posts!F272+Posts!I272+Posts!K272)</f>
        <v>27054</v>
      </c>
      <c r="I272" s="69" t="s">
        <v>17</v>
      </c>
      <c r="L272" s="104">
        <f t="shared" si="8"/>
        <v>0</v>
      </c>
    </row>
    <row r="273" spans="1:12" ht="15" thickBot="1">
      <c r="A273" s="15" t="s">
        <v>21</v>
      </c>
      <c r="B273" s="68">
        <f>(Posts!F273+Posts!I273+Posts!K273)</f>
        <v>59276</v>
      </c>
      <c r="I273" s="69" t="s">
        <v>21</v>
      </c>
      <c r="L273" s="104">
        <f t="shared" si="8"/>
        <v>0</v>
      </c>
    </row>
    <row r="274" spans="1:12" ht="15" thickBot="1">
      <c r="A274" s="15" t="s">
        <v>17</v>
      </c>
      <c r="B274" s="68">
        <f>(Posts!F274+Posts!I274+Posts!K274)</f>
        <v>54100</v>
      </c>
      <c r="I274" s="69" t="s">
        <v>17</v>
      </c>
      <c r="L274" s="104">
        <f t="shared" si="8"/>
        <v>0</v>
      </c>
    </row>
    <row r="275" spans="1:12" ht="15" thickBot="1">
      <c r="A275" s="15" t="s">
        <v>21</v>
      </c>
      <c r="B275" s="68">
        <f>(Posts!F275+Posts!I275+Posts!K275)</f>
        <v>52270</v>
      </c>
      <c r="I275" s="69" t="s">
        <v>21</v>
      </c>
      <c r="L275" s="104">
        <f t="shared" si="8"/>
        <v>0</v>
      </c>
    </row>
    <row r="276" spans="1:12" ht="15" thickBot="1">
      <c r="A276" s="15" t="s">
        <v>21</v>
      </c>
      <c r="B276" s="68">
        <f>(Posts!F276+Posts!I276+Posts!K276)</f>
        <v>63516</v>
      </c>
      <c r="I276" s="69" t="s">
        <v>21</v>
      </c>
      <c r="L276" s="104">
        <f t="shared" si="8"/>
        <v>0</v>
      </c>
    </row>
    <row r="277" spans="1:12" ht="15" thickBot="1">
      <c r="A277" s="15" t="s">
        <v>17</v>
      </c>
      <c r="B277" s="68">
        <f>(Posts!F277+Posts!I277+Posts!K277)</f>
        <v>49596</v>
      </c>
      <c r="I277" s="69" t="s">
        <v>17</v>
      </c>
      <c r="L277" s="104">
        <f t="shared" si="8"/>
        <v>0</v>
      </c>
    </row>
    <row r="278" spans="1:12" ht="15" thickBot="1">
      <c r="A278" s="15" t="s">
        <v>47</v>
      </c>
      <c r="B278" s="68">
        <f>(Posts!F278+Posts!I278+Posts!K278)</f>
        <v>24730</v>
      </c>
      <c r="I278" s="69" t="s">
        <v>47</v>
      </c>
      <c r="L278" s="104">
        <f t="shared" si="8"/>
        <v>0</v>
      </c>
    </row>
    <row r="279" spans="1:12" ht="15" thickBot="1">
      <c r="A279" s="15" t="s">
        <v>17</v>
      </c>
      <c r="B279" s="68">
        <f>(Posts!F279+Posts!I279+Posts!K279)</f>
        <v>59728</v>
      </c>
      <c r="I279" s="69" t="s">
        <v>17</v>
      </c>
      <c r="L279" s="104">
        <f t="shared" si="8"/>
        <v>0</v>
      </c>
    </row>
    <row r="280" spans="1:12" ht="15" thickBot="1">
      <c r="A280" s="15" t="s">
        <v>17</v>
      </c>
      <c r="B280" s="68">
        <f>(Posts!F280+Posts!I280+Posts!K280)</f>
        <v>24129</v>
      </c>
      <c r="I280" s="69" t="s">
        <v>17</v>
      </c>
      <c r="L280" s="104">
        <f t="shared" si="8"/>
        <v>0</v>
      </c>
    </row>
    <row r="281" spans="1:12" ht="15" thickBot="1">
      <c r="A281" s="15" t="s">
        <v>17</v>
      </c>
      <c r="B281" s="68">
        <f>(Posts!F281+Posts!I281+Posts!K281)</f>
        <v>49517</v>
      </c>
      <c r="I281" s="69" t="s">
        <v>17</v>
      </c>
      <c r="L281" s="104">
        <f t="shared" si="8"/>
        <v>0</v>
      </c>
    </row>
    <row r="282" spans="1:12" ht="15" thickBot="1">
      <c r="A282" s="15" t="s">
        <v>17</v>
      </c>
      <c r="B282" s="68">
        <f>(Posts!F282+Posts!I282+Posts!K282)</f>
        <v>61923</v>
      </c>
      <c r="I282" s="69" t="s">
        <v>17</v>
      </c>
      <c r="L282" s="104">
        <f t="shared" si="8"/>
        <v>0</v>
      </c>
    </row>
    <row r="283" spans="1:12" ht="15" thickBot="1">
      <c r="A283" s="15" t="s">
        <v>17</v>
      </c>
      <c r="B283" s="68">
        <f>(Posts!F283+Posts!I283+Posts!K283)</f>
        <v>61235</v>
      </c>
      <c r="I283" s="69" t="s">
        <v>17</v>
      </c>
      <c r="L283" s="104">
        <f t="shared" si="8"/>
        <v>0</v>
      </c>
    </row>
    <row r="284" spans="1:12" ht="15" thickBot="1">
      <c r="A284" s="15" t="s">
        <v>21</v>
      </c>
      <c r="B284" s="68">
        <f>(Posts!F284+Posts!I284+Posts!K284)</f>
        <v>60540</v>
      </c>
      <c r="I284" s="69" t="s">
        <v>21</v>
      </c>
      <c r="L284" s="104">
        <f t="shared" si="8"/>
        <v>0</v>
      </c>
    </row>
    <row r="285" spans="1:12" ht="15" thickBot="1">
      <c r="A285" s="15" t="s">
        <v>47</v>
      </c>
      <c r="B285" s="68">
        <f>(Posts!F285+Posts!I285+Posts!K285)</f>
        <v>29685</v>
      </c>
      <c r="I285" s="69" t="s">
        <v>47</v>
      </c>
      <c r="L285" s="104">
        <f t="shared" si="8"/>
        <v>0</v>
      </c>
    </row>
    <row r="286" spans="1:12" ht="15" thickBot="1">
      <c r="A286" s="15" t="s">
        <v>21</v>
      </c>
      <c r="B286" s="68">
        <f>(Posts!F286+Posts!I286+Posts!K286)</f>
        <v>58472</v>
      </c>
      <c r="I286" s="69" t="s">
        <v>21</v>
      </c>
      <c r="L286" s="104">
        <f t="shared" si="8"/>
        <v>0</v>
      </c>
    </row>
    <row r="287" spans="1:12" ht="15" thickBot="1">
      <c r="A287" s="15" t="s">
        <v>21</v>
      </c>
      <c r="B287" s="68">
        <f>(Posts!F287+Posts!I287+Posts!K287)</f>
        <v>37418</v>
      </c>
      <c r="I287" s="69" t="s">
        <v>21</v>
      </c>
      <c r="L287" s="104">
        <f t="shared" si="8"/>
        <v>0</v>
      </c>
    </row>
    <row r="288" spans="1:12" ht="15" thickBot="1">
      <c r="A288" s="15" t="s">
        <v>21</v>
      </c>
      <c r="B288" s="68">
        <f>(Posts!F288+Posts!I288+Posts!K288)</f>
        <v>32843</v>
      </c>
      <c r="I288" s="69" t="s">
        <v>21</v>
      </c>
      <c r="L288" s="104">
        <f t="shared" si="8"/>
        <v>0</v>
      </c>
    </row>
    <row r="289" spans="1:12" ht="15" thickBot="1">
      <c r="A289" s="15" t="s">
        <v>17</v>
      </c>
      <c r="B289" s="68">
        <f>(Posts!F289+Posts!I289+Posts!K289)</f>
        <v>57664</v>
      </c>
      <c r="I289" s="69" t="s">
        <v>17</v>
      </c>
      <c r="L289" s="104">
        <f t="shared" si="8"/>
        <v>0</v>
      </c>
    </row>
    <row r="290" spans="1:12" ht="15" thickBot="1">
      <c r="A290" s="15" t="s">
        <v>47</v>
      </c>
      <c r="B290" s="68">
        <f>(Posts!F290+Posts!I290+Posts!K290)</f>
        <v>58456</v>
      </c>
      <c r="I290" s="69" t="s">
        <v>47</v>
      </c>
      <c r="L290" s="104">
        <f t="shared" si="8"/>
        <v>0</v>
      </c>
    </row>
    <row r="291" spans="1:12" ht="15" thickBot="1">
      <c r="A291" s="15" t="s">
        <v>21</v>
      </c>
      <c r="B291" s="68">
        <f>(Posts!F291+Posts!I291+Posts!K291)</f>
        <v>27500</v>
      </c>
      <c r="I291" s="69" t="s">
        <v>21</v>
      </c>
      <c r="L291" s="104">
        <f t="shared" si="8"/>
        <v>0</v>
      </c>
    </row>
    <row r="292" spans="1:12" ht="15" thickBot="1">
      <c r="A292" s="15" t="s">
        <v>17</v>
      </c>
      <c r="B292" s="68">
        <f>(Posts!F292+Posts!I292+Posts!K292)</f>
        <v>48810</v>
      </c>
      <c r="I292" s="69" t="s">
        <v>17</v>
      </c>
      <c r="L292" s="104">
        <f t="shared" si="8"/>
        <v>0</v>
      </c>
    </row>
    <row r="293" spans="1:12" ht="15" thickBot="1">
      <c r="A293" s="15" t="s">
        <v>17</v>
      </c>
      <c r="B293" s="68">
        <f>(Posts!F293+Posts!I293+Posts!K293)</f>
        <v>29813</v>
      </c>
      <c r="I293" s="69" t="s">
        <v>17</v>
      </c>
      <c r="L293" s="104">
        <f t="shared" si="8"/>
        <v>0</v>
      </c>
    </row>
    <row r="294" spans="1:12" ht="15" thickBot="1">
      <c r="A294" s="15" t="s">
        <v>50</v>
      </c>
      <c r="B294" s="68">
        <f>(Posts!F294+Posts!I294+Posts!K294)</f>
        <v>42683</v>
      </c>
      <c r="I294" s="69" t="s">
        <v>50</v>
      </c>
      <c r="L294" s="104">
        <f t="shared" si="8"/>
        <v>0</v>
      </c>
    </row>
    <row r="295" spans="1:12" ht="15" thickBot="1">
      <c r="A295" s="15" t="s">
        <v>21</v>
      </c>
      <c r="B295" s="68">
        <f>(Posts!F295+Posts!I295+Posts!K295)</f>
        <v>60071</v>
      </c>
      <c r="I295" s="69" t="s">
        <v>21</v>
      </c>
      <c r="L295" s="104">
        <f t="shared" si="8"/>
        <v>0</v>
      </c>
    </row>
    <row r="296" spans="1:12" ht="15" thickBot="1">
      <c r="A296" s="15" t="s">
        <v>47</v>
      </c>
      <c r="B296" s="68">
        <f>(Posts!F296+Posts!I296+Posts!K296)</f>
        <v>28243</v>
      </c>
      <c r="I296" s="69" t="s">
        <v>47</v>
      </c>
      <c r="L296" s="104">
        <f t="shared" si="8"/>
        <v>0</v>
      </c>
    </row>
    <row r="297" spans="1:12" ht="15" thickBot="1">
      <c r="A297" s="15" t="s">
        <v>17</v>
      </c>
      <c r="B297" s="68">
        <f>(Posts!F297+Posts!I297+Posts!K297)</f>
        <v>33583</v>
      </c>
      <c r="I297" s="69" t="s">
        <v>17</v>
      </c>
      <c r="L297" s="104">
        <f t="shared" si="8"/>
        <v>0</v>
      </c>
    </row>
    <row r="298" spans="1:12" ht="15" thickBot="1">
      <c r="A298" s="15" t="s">
        <v>21</v>
      </c>
      <c r="B298" s="68">
        <f>(Posts!F298+Posts!I298+Posts!K298)</f>
        <v>54838</v>
      </c>
      <c r="I298" s="69" t="s">
        <v>21</v>
      </c>
      <c r="L298" s="104">
        <f t="shared" si="8"/>
        <v>0</v>
      </c>
    </row>
    <row r="299" spans="1:12" ht="15" thickBot="1">
      <c r="A299" s="15" t="s">
        <v>17</v>
      </c>
      <c r="B299" s="68">
        <f>(Posts!F299+Posts!I299+Posts!K299)</f>
        <v>46328</v>
      </c>
      <c r="I299" s="69" t="s">
        <v>17</v>
      </c>
      <c r="L299" s="104">
        <f t="shared" si="8"/>
        <v>0</v>
      </c>
    </row>
    <row r="300" spans="1:12" ht="15" thickBot="1">
      <c r="A300" s="15" t="s">
        <v>17</v>
      </c>
      <c r="B300" s="68">
        <f>(Posts!F300+Posts!I300+Posts!K300)</f>
        <v>54118</v>
      </c>
      <c r="I300" s="69" t="s">
        <v>17</v>
      </c>
      <c r="L300" s="104">
        <f t="shared" si="8"/>
        <v>0</v>
      </c>
    </row>
    <row r="301" spans="1:12" ht="15" thickBot="1">
      <c r="A301" s="15" t="s">
        <v>17</v>
      </c>
      <c r="B301" s="68">
        <f>(Posts!F301+Posts!I301+Posts!K301)</f>
        <v>30912</v>
      </c>
      <c r="I301" s="69" t="s">
        <v>17</v>
      </c>
      <c r="L301" s="104">
        <f t="shared" si="8"/>
        <v>0</v>
      </c>
    </row>
    <row r="302" spans="1:12" ht="15" thickBot="1">
      <c r="A302" s="64"/>
      <c r="B302" s="68"/>
      <c r="I302" s="70"/>
    </row>
    <row r="303" spans="1:12" ht="15" thickBot="1">
      <c r="A303" s="64"/>
      <c r="I303" s="70"/>
    </row>
    <row r="304" spans="1:12" ht="15" thickBot="1">
      <c r="A304" s="64"/>
      <c r="I304" s="70"/>
    </row>
    <row r="305" spans="1:9" ht="15" thickBot="1">
      <c r="A305" s="64"/>
      <c r="I305" s="70"/>
    </row>
    <row r="306" spans="1:9" ht="15" thickBot="1">
      <c r="A306" s="64"/>
      <c r="I306" s="70"/>
    </row>
    <row r="307" spans="1:9" ht="15" thickBot="1">
      <c r="A307" s="64"/>
      <c r="I307" s="70"/>
    </row>
    <row r="308" spans="1:9" ht="15" thickBot="1">
      <c r="A308" s="64"/>
      <c r="I308" s="70"/>
    </row>
    <row r="309" spans="1:9" ht="15" thickBot="1">
      <c r="A309" s="64"/>
      <c r="I309" s="70"/>
    </row>
    <row r="310" spans="1:9" ht="15" thickBot="1">
      <c r="A310" s="64"/>
      <c r="I310" s="70"/>
    </row>
    <row r="311" spans="1:9" ht="15" thickBot="1">
      <c r="A311" s="64"/>
      <c r="I311" s="70"/>
    </row>
    <row r="312" spans="1:9" ht="15" thickBot="1">
      <c r="A312" s="64"/>
      <c r="I312" s="70"/>
    </row>
    <row r="313" spans="1:9" ht="15" thickBot="1">
      <c r="A313" s="64"/>
      <c r="I313" s="70"/>
    </row>
    <row r="314" spans="1:9" ht="15" thickBot="1">
      <c r="A314" s="64"/>
      <c r="I314" s="70"/>
    </row>
    <row r="315" spans="1:9" ht="15" thickBot="1">
      <c r="A315" s="64"/>
      <c r="I315" s="70"/>
    </row>
    <row r="316" spans="1:9" ht="15" thickBot="1">
      <c r="A316" s="64"/>
      <c r="I316" s="70"/>
    </row>
    <row r="317" spans="1:9" ht="15" thickBot="1">
      <c r="A317" s="64"/>
      <c r="I317" s="70"/>
    </row>
    <row r="318" spans="1:9" ht="15" thickBot="1">
      <c r="A318" s="64"/>
      <c r="I318" s="70"/>
    </row>
    <row r="319" spans="1:9" ht="15" thickBot="1">
      <c r="A319" s="64"/>
      <c r="I319" s="70"/>
    </row>
    <row r="320" spans="1:9" ht="15" thickBot="1">
      <c r="A320" s="64"/>
      <c r="I320" s="70"/>
    </row>
    <row r="321" spans="1:9" ht="15" thickBot="1">
      <c r="A321" s="64"/>
      <c r="I321" s="70"/>
    </row>
    <row r="322" spans="1:9" ht="15" thickBot="1">
      <c r="A322" s="64"/>
      <c r="I322" s="70"/>
    </row>
    <row r="323" spans="1:9" ht="15" thickBot="1">
      <c r="A323" s="64"/>
      <c r="I323" s="70"/>
    </row>
    <row r="324" spans="1:9" ht="15" thickBot="1">
      <c r="A324" s="64"/>
      <c r="I324" s="70"/>
    </row>
    <row r="325" spans="1:9" ht="15" thickBot="1">
      <c r="A325" s="64"/>
      <c r="I325" s="70"/>
    </row>
    <row r="326" spans="1:9" ht="15" thickBot="1">
      <c r="A326" s="64"/>
      <c r="I326" s="70"/>
    </row>
    <row r="327" spans="1:9" ht="15" thickBot="1">
      <c r="A327" s="64"/>
      <c r="I327" s="70"/>
    </row>
    <row r="328" spans="1:9" ht="15" thickBot="1">
      <c r="A328" s="64"/>
      <c r="I328" s="70"/>
    </row>
    <row r="329" spans="1:9" ht="15" thickBot="1">
      <c r="A329" s="64"/>
      <c r="I329" s="70"/>
    </row>
    <row r="330" spans="1:9" ht="15" thickBot="1">
      <c r="A330" s="64"/>
      <c r="I330" s="70"/>
    </row>
    <row r="331" spans="1:9" ht="15" thickBot="1">
      <c r="A331" s="64"/>
      <c r="I331" s="70"/>
    </row>
    <row r="332" spans="1:9" ht="15" thickBot="1">
      <c r="A332" s="64"/>
      <c r="I332" s="70"/>
    </row>
    <row r="333" spans="1:9" ht="15" thickBot="1">
      <c r="A333" s="64"/>
      <c r="I333" s="70"/>
    </row>
    <row r="334" spans="1:9" ht="15" thickBot="1">
      <c r="A334" s="64"/>
      <c r="I334" s="70"/>
    </row>
    <row r="335" spans="1:9" ht="15" thickBot="1">
      <c r="A335" s="64"/>
      <c r="I335" s="70"/>
    </row>
    <row r="336" spans="1:9" ht="15" thickBot="1">
      <c r="A336" s="64"/>
      <c r="I336" s="70"/>
    </row>
    <row r="337" spans="1:9" ht="15" thickBot="1">
      <c r="A337" s="64"/>
      <c r="I337" s="70"/>
    </row>
    <row r="338" spans="1:9" ht="15" thickBot="1">
      <c r="A338" s="64"/>
      <c r="I338" s="70"/>
    </row>
    <row r="339" spans="1:9" ht="15" thickBot="1">
      <c r="A339" s="64"/>
      <c r="I339" s="70"/>
    </row>
    <row r="340" spans="1:9" ht="15" thickBot="1">
      <c r="A340" s="64"/>
      <c r="I340" s="70"/>
    </row>
    <row r="341" spans="1:9" ht="15" thickBot="1">
      <c r="A341" s="64"/>
      <c r="I341" s="70"/>
    </row>
    <row r="342" spans="1:9" ht="15" thickBot="1">
      <c r="A342" s="64"/>
      <c r="I342" s="70"/>
    </row>
    <row r="343" spans="1:9" ht="15" thickBot="1">
      <c r="A343" s="64"/>
      <c r="I343" s="70"/>
    </row>
    <row r="344" spans="1:9" ht="15" thickBot="1">
      <c r="A344" s="64"/>
      <c r="I344" s="70"/>
    </row>
    <row r="345" spans="1:9" ht="15" thickBot="1">
      <c r="A345" s="64"/>
      <c r="I345" s="70"/>
    </row>
    <row r="346" spans="1:9" ht="15" thickBot="1">
      <c r="A346" s="64"/>
      <c r="I346" s="70"/>
    </row>
    <row r="347" spans="1:9" ht="15" thickBot="1">
      <c r="A347" s="64"/>
      <c r="I347" s="70"/>
    </row>
    <row r="348" spans="1:9" ht="15" thickBot="1">
      <c r="A348" s="64"/>
      <c r="I348" s="70"/>
    </row>
    <row r="349" spans="1:9" ht="15" thickBot="1">
      <c r="A349" s="64"/>
      <c r="I349" s="70"/>
    </row>
    <row r="350" spans="1:9" ht="15" thickBot="1">
      <c r="A350" s="64"/>
      <c r="I350" s="70"/>
    </row>
    <row r="351" spans="1:9" ht="15" thickBot="1">
      <c r="A351" s="64"/>
      <c r="I351" s="70"/>
    </row>
    <row r="352" spans="1:9" ht="15" thickBot="1">
      <c r="A352" s="64"/>
      <c r="I352" s="70"/>
    </row>
    <row r="353" spans="1:9" ht="15" thickBot="1">
      <c r="A353" s="64"/>
      <c r="I353" s="70"/>
    </row>
    <row r="354" spans="1:9" ht="15" thickBot="1">
      <c r="A354" s="64"/>
      <c r="I354" s="70"/>
    </row>
    <row r="355" spans="1:9" ht="15" thickBot="1">
      <c r="A355" s="64"/>
      <c r="I355" s="70"/>
    </row>
    <row r="356" spans="1:9" ht="15" thickBot="1">
      <c r="A356" s="64"/>
      <c r="I356" s="70"/>
    </row>
    <row r="357" spans="1:9" ht="15" thickBot="1">
      <c r="A357" s="64"/>
      <c r="I357" s="70"/>
    </row>
    <row r="358" spans="1:9" ht="15" thickBot="1">
      <c r="A358" s="64"/>
      <c r="I358" s="70"/>
    </row>
    <row r="359" spans="1:9" ht="15" thickBot="1">
      <c r="A359" s="64"/>
      <c r="I359" s="70"/>
    </row>
    <row r="360" spans="1:9" ht="15" thickBot="1">
      <c r="A360" s="64"/>
      <c r="I360" s="70"/>
    </row>
    <row r="361" spans="1:9" ht="15" thickBot="1">
      <c r="A361" s="64"/>
      <c r="I361" s="70"/>
    </row>
    <row r="362" spans="1:9" ht="15" thickBot="1">
      <c r="A362" s="64"/>
      <c r="I362" s="70"/>
    </row>
    <row r="363" spans="1:9" ht="15" thickBot="1">
      <c r="A363" s="64"/>
      <c r="I363" s="70"/>
    </row>
    <row r="364" spans="1:9" ht="15" thickBot="1">
      <c r="A364" s="64"/>
      <c r="I364" s="70"/>
    </row>
    <row r="365" spans="1:9" ht="15" thickBot="1">
      <c r="A365" s="64"/>
      <c r="I365" s="70"/>
    </row>
    <row r="366" spans="1:9" ht="15" thickBot="1">
      <c r="A366" s="64"/>
      <c r="I366" s="70"/>
    </row>
    <row r="367" spans="1:9" ht="15" thickBot="1">
      <c r="A367" s="64"/>
      <c r="I367" s="70"/>
    </row>
    <row r="368" spans="1:9" ht="15" thickBot="1">
      <c r="A368" s="64"/>
      <c r="I368" s="70"/>
    </row>
    <row r="369" spans="1:9" ht="15" thickBot="1">
      <c r="A369" s="64"/>
      <c r="I369" s="70"/>
    </row>
    <row r="370" spans="1:9" ht="15" thickBot="1">
      <c r="A370" s="64"/>
      <c r="I370" s="70"/>
    </row>
    <row r="371" spans="1:9" ht="15" thickBot="1">
      <c r="A371" s="64"/>
      <c r="I371" s="70"/>
    </row>
    <row r="372" spans="1:9" ht="15" thickBot="1">
      <c r="A372" s="64"/>
      <c r="I372" s="70"/>
    </row>
    <row r="373" spans="1:9" ht="15" thickBot="1">
      <c r="A373" s="64"/>
      <c r="I373" s="70"/>
    </row>
    <row r="374" spans="1:9" ht="15" thickBot="1">
      <c r="A374" s="64"/>
      <c r="I374" s="70"/>
    </row>
    <row r="375" spans="1:9" ht="15" thickBot="1">
      <c r="A375" s="64"/>
      <c r="I375" s="70"/>
    </row>
    <row r="376" spans="1:9" ht="15" thickBot="1">
      <c r="A376" s="64"/>
      <c r="I376" s="70"/>
    </row>
    <row r="377" spans="1:9" ht="15" thickBot="1">
      <c r="A377" s="64"/>
      <c r="I377" s="70"/>
    </row>
    <row r="378" spans="1:9" ht="15" thickBot="1">
      <c r="A378" s="64"/>
      <c r="I378" s="70"/>
    </row>
    <row r="379" spans="1:9" ht="15" thickBot="1">
      <c r="A379" s="64"/>
      <c r="I379" s="70"/>
    </row>
    <row r="380" spans="1:9" ht="15" thickBot="1">
      <c r="A380" s="64"/>
      <c r="I380" s="70"/>
    </row>
    <row r="381" spans="1:9" ht="15" thickBot="1">
      <c r="A381" s="64"/>
      <c r="I381" s="70"/>
    </row>
    <row r="382" spans="1:9" ht="15" thickBot="1">
      <c r="A382" s="64"/>
      <c r="I382" s="70"/>
    </row>
    <row r="383" spans="1:9" ht="15" thickBot="1">
      <c r="A383" s="64"/>
      <c r="I383" s="70"/>
    </row>
    <row r="384" spans="1:9" ht="15" thickBot="1">
      <c r="A384" s="64"/>
      <c r="I384" s="70"/>
    </row>
    <row r="385" spans="1:9" ht="15" thickBot="1">
      <c r="A385" s="64"/>
      <c r="I385" s="70"/>
    </row>
    <row r="386" spans="1:9" ht="15" thickBot="1">
      <c r="A386" s="64"/>
      <c r="I386" s="70"/>
    </row>
    <row r="387" spans="1:9" ht="15" thickBot="1">
      <c r="A387" s="64"/>
      <c r="I387" s="70"/>
    </row>
    <row r="388" spans="1:9" ht="15" thickBot="1">
      <c r="A388" s="64"/>
      <c r="I388" s="70"/>
    </row>
    <row r="389" spans="1:9" ht="15" thickBot="1">
      <c r="A389" s="64"/>
      <c r="I389" s="70"/>
    </row>
    <row r="390" spans="1:9" ht="15" thickBot="1">
      <c r="A390" s="64"/>
      <c r="I390" s="70"/>
    </row>
    <row r="391" spans="1:9" ht="15" thickBot="1">
      <c r="A391" s="64"/>
      <c r="I391" s="70"/>
    </row>
    <row r="392" spans="1:9" ht="15" thickBot="1">
      <c r="A392" s="64"/>
      <c r="I392" s="70"/>
    </row>
    <row r="393" spans="1:9" ht="15" thickBot="1">
      <c r="A393" s="64"/>
      <c r="I393" s="70"/>
    </row>
    <row r="394" spans="1:9" ht="15" thickBot="1">
      <c r="A394" s="64"/>
      <c r="I394" s="70"/>
    </row>
    <row r="395" spans="1:9" ht="15" thickBot="1">
      <c r="A395" s="64"/>
      <c r="I395" s="70"/>
    </row>
    <row r="396" spans="1:9" ht="15" thickBot="1">
      <c r="A396" s="64"/>
      <c r="I396" s="70"/>
    </row>
    <row r="397" spans="1:9" ht="15" thickBot="1">
      <c r="A397" s="64"/>
      <c r="I397" s="70"/>
    </row>
    <row r="398" spans="1:9" ht="15" thickBot="1">
      <c r="A398" s="64"/>
      <c r="I398" s="70"/>
    </row>
    <row r="399" spans="1:9" ht="15" thickBot="1">
      <c r="A399" s="64"/>
      <c r="I399" s="70"/>
    </row>
    <row r="400" spans="1:9" ht="15" thickBot="1">
      <c r="A400" s="64"/>
      <c r="I400" s="70"/>
    </row>
    <row r="401" spans="1:9" ht="15" thickBot="1">
      <c r="A401" s="64"/>
      <c r="I401" s="70"/>
    </row>
    <row r="402" spans="1:9" ht="15" thickBot="1">
      <c r="A402" s="64"/>
      <c r="I402" s="70"/>
    </row>
    <row r="403" spans="1:9" ht="15" thickBot="1">
      <c r="A403" s="64"/>
      <c r="I403" s="70"/>
    </row>
    <row r="404" spans="1:9" ht="15" thickBot="1">
      <c r="A404" s="64"/>
      <c r="I404" s="70"/>
    </row>
    <row r="405" spans="1:9" ht="15" thickBot="1">
      <c r="A405" s="64"/>
      <c r="I405" s="70"/>
    </row>
    <row r="406" spans="1:9" ht="15" thickBot="1">
      <c r="A406" s="64"/>
      <c r="I406" s="70"/>
    </row>
    <row r="407" spans="1:9" ht="15" thickBot="1">
      <c r="A407" s="64"/>
      <c r="I407" s="70"/>
    </row>
    <row r="408" spans="1:9" ht="15" thickBot="1">
      <c r="A408" s="64"/>
      <c r="I408" s="70"/>
    </row>
    <row r="409" spans="1:9" ht="15" thickBot="1">
      <c r="A409" s="64"/>
      <c r="I409" s="70"/>
    </row>
    <row r="410" spans="1:9" ht="15" thickBot="1">
      <c r="A410" s="64"/>
      <c r="I410" s="70"/>
    </row>
    <row r="411" spans="1:9" ht="15" thickBot="1">
      <c r="A411" s="64"/>
      <c r="I411" s="70"/>
    </row>
    <row r="412" spans="1:9" ht="15" thickBot="1">
      <c r="A412" s="64"/>
      <c r="I412" s="70"/>
    </row>
    <row r="413" spans="1:9" ht="15" thickBot="1">
      <c r="A413" s="64"/>
      <c r="I413" s="70"/>
    </row>
    <row r="414" spans="1:9" ht="15" thickBot="1">
      <c r="A414" s="64"/>
      <c r="I414" s="70"/>
    </row>
    <row r="415" spans="1:9" ht="15" thickBot="1">
      <c r="A415" s="64"/>
      <c r="I415" s="70"/>
    </row>
    <row r="416" spans="1:9" ht="15" thickBot="1">
      <c r="A416" s="64"/>
      <c r="I416" s="70"/>
    </row>
    <row r="417" spans="1:9" ht="15" thickBot="1">
      <c r="A417" s="64"/>
      <c r="I417" s="70"/>
    </row>
    <row r="418" spans="1:9" ht="15" thickBot="1">
      <c r="A418" s="64"/>
      <c r="I418" s="70"/>
    </row>
    <row r="419" spans="1:9" ht="15" thickBot="1">
      <c r="A419" s="64"/>
      <c r="I419" s="70"/>
    </row>
    <row r="420" spans="1:9" ht="15" thickBot="1">
      <c r="A420" s="64"/>
      <c r="I420" s="70"/>
    </row>
    <row r="421" spans="1:9" ht="15" thickBot="1">
      <c r="A421" s="64"/>
      <c r="I421" s="70"/>
    </row>
    <row r="422" spans="1:9" ht="15" thickBot="1">
      <c r="A422" s="64"/>
      <c r="I422" s="70"/>
    </row>
    <row r="423" spans="1:9" ht="15" thickBot="1">
      <c r="A423" s="64"/>
      <c r="I423" s="70"/>
    </row>
    <row r="424" spans="1:9" ht="15" thickBot="1">
      <c r="A424" s="64"/>
      <c r="I424" s="70"/>
    </row>
    <row r="425" spans="1:9" ht="15" thickBot="1">
      <c r="A425" s="64"/>
      <c r="I425" s="70"/>
    </row>
    <row r="426" spans="1:9" ht="15" thickBot="1">
      <c r="A426" s="64"/>
      <c r="I426" s="70"/>
    </row>
    <row r="427" spans="1:9" ht="15" thickBot="1">
      <c r="A427" s="64"/>
      <c r="I427" s="70"/>
    </row>
    <row r="428" spans="1:9" ht="15" thickBot="1">
      <c r="A428" s="64"/>
      <c r="I428" s="70"/>
    </row>
    <row r="429" spans="1:9" ht="15" thickBot="1">
      <c r="A429" s="64"/>
      <c r="I429" s="70"/>
    </row>
    <row r="430" spans="1:9" ht="15" thickBot="1">
      <c r="A430" s="64"/>
      <c r="I430" s="70"/>
    </row>
    <row r="431" spans="1:9" ht="15" thickBot="1">
      <c r="A431" s="64"/>
      <c r="I431" s="70"/>
    </row>
    <row r="432" spans="1:9" ht="15" thickBot="1">
      <c r="A432" s="64"/>
      <c r="I432" s="70"/>
    </row>
    <row r="433" spans="1:9" ht="15" thickBot="1">
      <c r="A433" s="64"/>
      <c r="I433" s="70"/>
    </row>
    <row r="434" spans="1:9" ht="15" thickBot="1">
      <c r="A434" s="64"/>
      <c r="I434" s="70"/>
    </row>
    <row r="435" spans="1:9" ht="15" thickBot="1">
      <c r="A435" s="64"/>
      <c r="I435" s="70"/>
    </row>
    <row r="436" spans="1:9" ht="15" thickBot="1">
      <c r="A436" s="64"/>
      <c r="I436" s="70"/>
    </row>
    <row r="437" spans="1:9" ht="15" thickBot="1">
      <c r="A437" s="64"/>
      <c r="I437" s="70"/>
    </row>
    <row r="438" spans="1:9" ht="15" thickBot="1">
      <c r="A438" s="64"/>
      <c r="I438" s="70"/>
    </row>
    <row r="439" spans="1:9" ht="15" thickBot="1">
      <c r="A439" s="64"/>
      <c r="I439" s="70"/>
    </row>
    <row r="440" spans="1:9" ht="15" thickBot="1">
      <c r="A440" s="64"/>
      <c r="I440" s="70"/>
    </row>
    <row r="441" spans="1:9" ht="15" thickBot="1">
      <c r="A441" s="64"/>
      <c r="I441" s="70"/>
    </row>
    <row r="442" spans="1:9" ht="15" thickBot="1">
      <c r="A442" s="64"/>
      <c r="I442" s="70"/>
    </row>
    <row r="443" spans="1:9" ht="15" thickBot="1">
      <c r="A443" s="64"/>
      <c r="I443" s="70"/>
    </row>
    <row r="444" spans="1:9" ht="15" thickBot="1">
      <c r="A444" s="64"/>
      <c r="I444" s="70"/>
    </row>
    <row r="445" spans="1:9" ht="15" thickBot="1">
      <c r="A445" s="64"/>
      <c r="I445" s="70"/>
    </row>
    <row r="446" spans="1:9" ht="15" thickBot="1">
      <c r="A446" s="64"/>
      <c r="I446" s="70"/>
    </row>
    <row r="447" spans="1:9" ht="15" thickBot="1">
      <c r="A447" s="64"/>
      <c r="I447" s="70"/>
    </row>
    <row r="448" spans="1:9" ht="15" thickBot="1">
      <c r="A448" s="64"/>
      <c r="I448" s="70"/>
    </row>
    <row r="449" spans="1:9" ht="15" thickBot="1">
      <c r="A449" s="64"/>
      <c r="I449" s="70"/>
    </row>
    <row r="450" spans="1:9" ht="15" thickBot="1">
      <c r="A450" s="64"/>
      <c r="I450" s="70"/>
    </row>
    <row r="451" spans="1:9" ht="15" thickBot="1">
      <c r="A451" s="64"/>
      <c r="I451" s="70"/>
    </row>
    <row r="452" spans="1:9" ht="15" thickBot="1">
      <c r="A452" s="64"/>
      <c r="I452" s="70"/>
    </row>
    <row r="453" spans="1:9" ht="15" thickBot="1">
      <c r="A453" s="64"/>
      <c r="I453" s="70"/>
    </row>
    <row r="454" spans="1:9" ht="15" thickBot="1">
      <c r="A454" s="64"/>
      <c r="I454" s="70"/>
    </row>
    <row r="455" spans="1:9" ht="15" thickBot="1">
      <c r="A455" s="64"/>
      <c r="I455" s="70"/>
    </row>
    <row r="456" spans="1:9" ht="15" thickBot="1">
      <c r="A456" s="64"/>
      <c r="I456" s="70"/>
    </row>
    <row r="457" spans="1:9" ht="15" thickBot="1">
      <c r="A457" s="64"/>
      <c r="I457" s="70"/>
    </row>
    <row r="458" spans="1:9" ht="15" thickBot="1">
      <c r="A458" s="64"/>
      <c r="I458" s="70"/>
    </row>
    <row r="459" spans="1:9" ht="15" thickBot="1">
      <c r="A459" s="64"/>
      <c r="I459" s="70"/>
    </row>
    <row r="460" spans="1:9" ht="15" thickBot="1">
      <c r="A460" s="64"/>
      <c r="I460" s="70"/>
    </row>
    <row r="461" spans="1:9" ht="15" thickBot="1">
      <c r="A461" s="64"/>
      <c r="I461" s="70"/>
    </row>
    <row r="462" spans="1:9" ht="15" thickBot="1">
      <c r="A462" s="64"/>
      <c r="I462" s="70"/>
    </row>
    <row r="463" spans="1:9" ht="15" thickBot="1">
      <c r="A463" s="64"/>
      <c r="I463" s="70"/>
    </row>
    <row r="464" spans="1:9" ht="15" thickBot="1">
      <c r="A464" s="64"/>
      <c r="I464" s="70"/>
    </row>
    <row r="465" spans="1:9" ht="15" thickBot="1">
      <c r="A465" s="64"/>
      <c r="I465" s="70"/>
    </row>
    <row r="466" spans="1:9" ht="15" thickBot="1">
      <c r="A466" s="64"/>
      <c r="I466" s="70"/>
    </row>
    <row r="467" spans="1:9" ht="15" thickBot="1">
      <c r="A467" s="64"/>
      <c r="I467" s="70"/>
    </row>
    <row r="468" spans="1:9" ht="15" thickBot="1">
      <c r="A468" s="64"/>
      <c r="I468" s="70"/>
    </row>
    <row r="469" spans="1:9" ht="15" thickBot="1">
      <c r="A469" s="64"/>
      <c r="I469" s="70"/>
    </row>
    <row r="470" spans="1:9" ht="15" thickBot="1">
      <c r="A470" s="64"/>
      <c r="I470" s="70"/>
    </row>
    <row r="471" spans="1:9" ht="15" thickBot="1">
      <c r="A471" s="64"/>
      <c r="I471" s="70"/>
    </row>
    <row r="472" spans="1:9" ht="15" thickBot="1">
      <c r="A472" s="64"/>
      <c r="I472" s="70"/>
    </row>
    <row r="473" spans="1:9" ht="15" thickBot="1">
      <c r="A473" s="64"/>
      <c r="I473" s="70"/>
    </row>
    <row r="474" spans="1:9" ht="15" thickBot="1">
      <c r="A474" s="64"/>
      <c r="I474" s="70"/>
    </row>
    <row r="475" spans="1:9" ht="15" thickBot="1">
      <c r="A475" s="64"/>
      <c r="I475" s="70"/>
    </row>
    <row r="476" spans="1:9" ht="15" thickBot="1">
      <c r="A476" s="64"/>
      <c r="I476" s="70"/>
    </row>
    <row r="477" spans="1:9" ht="15" thickBot="1">
      <c r="A477" s="64"/>
      <c r="I477" s="70"/>
    </row>
    <row r="478" spans="1:9" ht="15" thickBot="1">
      <c r="A478" s="64"/>
      <c r="I478" s="70"/>
    </row>
    <row r="479" spans="1:9" ht="15" thickBot="1">
      <c r="A479" s="64"/>
      <c r="I479" s="70"/>
    </row>
    <row r="480" spans="1:9" ht="15" thickBot="1">
      <c r="A480" s="64"/>
      <c r="I480" s="70"/>
    </row>
    <row r="481" spans="1:9" ht="15" thickBot="1">
      <c r="A481" s="64"/>
      <c r="I481" s="70"/>
    </row>
    <row r="482" spans="1:9" ht="15" thickBot="1">
      <c r="A482" s="64"/>
      <c r="I482" s="70"/>
    </row>
    <row r="483" spans="1:9" ht="15" thickBot="1">
      <c r="A483" s="64"/>
      <c r="I483" s="70"/>
    </row>
    <row r="484" spans="1:9" ht="15" thickBot="1">
      <c r="A484" s="64"/>
      <c r="I484" s="70"/>
    </row>
    <row r="485" spans="1:9" ht="15" thickBot="1">
      <c r="A485" s="64"/>
      <c r="I485" s="70"/>
    </row>
    <row r="486" spans="1:9" ht="15" thickBot="1">
      <c r="A486" s="64"/>
      <c r="I486" s="70"/>
    </row>
    <row r="487" spans="1:9" ht="15" thickBot="1">
      <c r="A487" s="64"/>
      <c r="I487" s="70"/>
    </row>
    <row r="488" spans="1:9" ht="15" thickBot="1">
      <c r="A488" s="64"/>
      <c r="I488" s="70"/>
    </row>
    <row r="489" spans="1:9" ht="15" thickBot="1">
      <c r="A489" s="64"/>
      <c r="I489" s="70"/>
    </row>
    <row r="490" spans="1:9" ht="15" thickBot="1">
      <c r="A490" s="64"/>
      <c r="I490" s="70"/>
    </row>
    <row r="491" spans="1:9" ht="15" thickBot="1">
      <c r="A491" s="64"/>
      <c r="I491" s="70"/>
    </row>
    <row r="492" spans="1:9" ht="15" thickBot="1">
      <c r="A492" s="64"/>
      <c r="I492" s="70"/>
    </row>
    <row r="493" spans="1:9" ht="15" thickBot="1">
      <c r="A493" s="64"/>
      <c r="I493" s="70"/>
    </row>
    <row r="494" spans="1:9" ht="15" thickBot="1">
      <c r="A494" s="64"/>
      <c r="I494" s="70"/>
    </row>
    <row r="495" spans="1:9" ht="15" thickBot="1">
      <c r="A495" s="64"/>
      <c r="I495" s="70"/>
    </row>
    <row r="496" spans="1:9" ht="15" thickBot="1">
      <c r="A496" s="64"/>
      <c r="I496" s="70"/>
    </row>
    <row r="497" spans="1:9" ht="15" thickBot="1">
      <c r="A497" s="64"/>
      <c r="I497" s="70"/>
    </row>
    <row r="498" spans="1:9" ht="15" thickBot="1">
      <c r="A498" s="64"/>
      <c r="I498" s="70"/>
    </row>
    <row r="499" spans="1:9" ht="15" thickBot="1">
      <c r="A499" s="64"/>
      <c r="I499" s="70"/>
    </row>
    <row r="500" spans="1:9" ht="15" thickBot="1">
      <c r="A500" s="64"/>
      <c r="I500" s="70"/>
    </row>
    <row r="501" spans="1:9" ht="15" thickBot="1">
      <c r="A501" s="64"/>
      <c r="I501" s="70"/>
    </row>
    <row r="502" spans="1:9" ht="15" thickBot="1">
      <c r="A502" s="64"/>
      <c r="I502" s="70"/>
    </row>
    <row r="503" spans="1:9" ht="15" thickBot="1">
      <c r="A503" s="64"/>
      <c r="I503" s="70"/>
    </row>
    <row r="504" spans="1:9" ht="15" thickBot="1">
      <c r="A504" s="64"/>
      <c r="I504" s="70"/>
    </row>
    <row r="505" spans="1:9" ht="15" thickBot="1">
      <c r="A505" s="64"/>
      <c r="I505" s="70"/>
    </row>
    <row r="506" spans="1:9" ht="15" thickBot="1">
      <c r="A506" s="64"/>
      <c r="I506" s="70"/>
    </row>
    <row r="507" spans="1:9" ht="15" thickBot="1">
      <c r="A507" s="64"/>
      <c r="I507" s="70"/>
    </row>
    <row r="508" spans="1:9" ht="15" thickBot="1">
      <c r="A508" s="64"/>
      <c r="I508" s="70"/>
    </row>
    <row r="509" spans="1:9" ht="15" thickBot="1">
      <c r="A509" s="64"/>
      <c r="I509" s="70"/>
    </row>
    <row r="510" spans="1:9" ht="15" thickBot="1">
      <c r="A510" s="64"/>
      <c r="I510" s="70"/>
    </row>
    <row r="511" spans="1:9" ht="15" thickBot="1">
      <c r="A511" s="64"/>
      <c r="I511" s="70"/>
    </row>
    <row r="512" spans="1:9" ht="15" thickBot="1">
      <c r="A512" s="64"/>
      <c r="I512" s="70"/>
    </row>
    <row r="513" spans="1:9" ht="15" thickBot="1">
      <c r="A513" s="64"/>
      <c r="I513" s="70"/>
    </row>
    <row r="514" spans="1:9" ht="15" thickBot="1">
      <c r="A514" s="64"/>
      <c r="I514" s="70"/>
    </row>
    <row r="515" spans="1:9" ht="15" thickBot="1">
      <c r="A515" s="64"/>
      <c r="I515" s="70"/>
    </row>
    <row r="516" spans="1:9" ht="15" thickBot="1">
      <c r="A516" s="64"/>
      <c r="I516" s="70"/>
    </row>
    <row r="517" spans="1:9" ht="15" thickBot="1">
      <c r="A517" s="64"/>
      <c r="I517" s="70"/>
    </row>
    <row r="518" spans="1:9" ht="15" thickBot="1">
      <c r="A518" s="64"/>
      <c r="I518" s="70"/>
    </row>
    <row r="519" spans="1:9" ht="15" thickBot="1">
      <c r="A519" s="64"/>
      <c r="I519" s="70"/>
    </row>
    <row r="520" spans="1:9" ht="15" thickBot="1">
      <c r="A520" s="64"/>
      <c r="I520" s="70"/>
    </row>
    <row r="521" spans="1:9" ht="15" thickBot="1">
      <c r="A521" s="64"/>
      <c r="I521" s="70"/>
    </row>
    <row r="522" spans="1:9" ht="15" thickBot="1">
      <c r="A522" s="64"/>
      <c r="I522" s="70"/>
    </row>
    <row r="523" spans="1:9" ht="15" thickBot="1">
      <c r="A523" s="64"/>
      <c r="I523" s="70"/>
    </row>
    <row r="524" spans="1:9" ht="15" thickBot="1">
      <c r="A524" s="64"/>
      <c r="I524" s="70"/>
    </row>
    <row r="525" spans="1:9" ht="15" thickBot="1">
      <c r="A525" s="64"/>
      <c r="I525" s="70"/>
    </row>
    <row r="526" spans="1:9" ht="15" thickBot="1">
      <c r="A526" s="64"/>
      <c r="I526" s="70"/>
    </row>
    <row r="527" spans="1:9" ht="15" thickBot="1">
      <c r="A527" s="64"/>
      <c r="I527" s="70"/>
    </row>
    <row r="528" spans="1:9" ht="15" thickBot="1">
      <c r="A528" s="64"/>
      <c r="I528" s="70"/>
    </row>
    <row r="529" spans="1:9" ht="15" thickBot="1">
      <c r="A529" s="64"/>
      <c r="I529" s="70"/>
    </row>
    <row r="530" spans="1:9" ht="15" thickBot="1">
      <c r="A530" s="64"/>
      <c r="I530" s="70"/>
    </row>
    <row r="531" spans="1:9" ht="15" thickBot="1">
      <c r="A531" s="64"/>
      <c r="I531" s="70"/>
    </row>
    <row r="532" spans="1:9" ht="15" thickBot="1">
      <c r="A532" s="64"/>
      <c r="I532" s="70"/>
    </row>
    <row r="533" spans="1:9" ht="15" thickBot="1">
      <c r="A533" s="64"/>
      <c r="I533" s="70"/>
    </row>
    <row r="534" spans="1:9" ht="15" thickBot="1">
      <c r="A534" s="64"/>
      <c r="I534" s="70"/>
    </row>
    <row r="535" spans="1:9" ht="15" thickBot="1">
      <c r="A535" s="64"/>
      <c r="I535" s="70"/>
    </row>
    <row r="536" spans="1:9" ht="15" thickBot="1">
      <c r="A536" s="64"/>
      <c r="I536" s="70"/>
    </row>
    <row r="537" spans="1:9" ht="15" thickBot="1">
      <c r="A537" s="64"/>
      <c r="I537" s="70"/>
    </row>
    <row r="538" spans="1:9" ht="15" thickBot="1">
      <c r="A538" s="64"/>
      <c r="I538" s="70"/>
    </row>
    <row r="539" spans="1:9" ht="15" thickBot="1">
      <c r="A539" s="64"/>
      <c r="I539" s="70"/>
    </row>
    <row r="540" spans="1:9" ht="15" thickBot="1">
      <c r="A540" s="64"/>
      <c r="I540" s="70"/>
    </row>
    <row r="541" spans="1:9" ht="15" thickBot="1">
      <c r="A541" s="64"/>
      <c r="I541" s="70"/>
    </row>
    <row r="542" spans="1:9" ht="15" thickBot="1">
      <c r="A542" s="64"/>
      <c r="I542" s="70"/>
    </row>
    <row r="543" spans="1:9" ht="15" thickBot="1">
      <c r="A543" s="64"/>
      <c r="I543" s="70"/>
    </row>
    <row r="544" spans="1:9" ht="15" thickBot="1">
      <c r="A544" s="64"/>
      <c r="I544" s="70"/>
    </row>
    <row r="545" spans="1:9" ht="15" thickBot="1">
      <c r="A545" s="64"/>
      <c r="I545" s="70"/>
    </row>
    <row r="546" spans="1:9" ht="15" thickBot="1">
      <c r="A546" s="64"/>
      <c r="I546" s="70"/>
    </row>
    <row r="547" spans="1:9" ht="15" thickBot="1">
      <c r="A547" s="64"/>
      <c r="I547" s="70"/>
    </row>
    <row r="548" spans="1:9" ht="15" thickBot="1">
      <c r="A548" s="64"/>
      <c r="I548" s="70"/>
    </row>
    <row r="549" spans="1:9" ht="15" thickBot="1">
      <c r="A549" s="64"/>
      <c r="I549" s="70"/>
    </row>
    <row r="550" spans="1:9" ht="15" thickBot="1">
      <c r="A550" s="64"/>
      <c r="I550" s="70"/>
    </row>
    <row r="551" spans="1:9" ht="15" thickBot="1">
      <c r="A551" s="64"/>
      <c r="I551" s="70"/>
    </row>
    <row r="552" spans="1:9" ht="15" thickBot="1">
      <c r="A552" s="64"/>
      <c r="I552" s="70"/>
    </row>
    <row r="553" spans="1:9" ht="15" thickBot="1">
      <c r="A553" s="64"/>
      <c r="I553" s="70"/>
    </row>
    <row r="554" spans="1:9" ht="15" thickBot="1">
      <c r="A554" s="64"/>
      <c r="I554" s="70"/>
    </row>
    <row r="555" spans="1:9" ht="15" thickBot="1">
      <c r="A555" s="64"/>
      <c r="I555" s="70"/>
    </row>
    <row r="556" spans="1:9" ht="15" thickBot="1">
      <c r="A556" s="64"/>
      <c r="I556" s="70"/>
    </row>
    <row r="557" spans="1:9" ht="15" thickBot="1">
      <c r="A557" s="64"/>
      <c r="I557" s="70"/>
    </row>
    <row r="558" spans="1:9" ht="15" thickBot="1">
      <c r="A558" s="64"/>
      <c r="I558" s="70"/>
    </row>
    <row r="559" spans="1:9" ht="15" thickBot="1">
      <c r="A559" s="64"/>
      <c r="I559" s="70"/>
    </row>
    <row r="560" spans="1:9" ht="15" thickBot="1">
      <c r="A560" s="64"/>
      <c r="I560" s="70"/>
    </row>
    <row r="561" spans="1:9" ht="15" thickBot="1">
      <c r="A561" s="64"/>
      <c r="I561" s="70"/>
    </row>
    <row r="562" spans="1:9" ht="15" thickBot="1">
      <c r="A562" s="64"/>
      <c r="I562" s="70"/>
    </row>
    <row r="563" spans="1:9" ht="15" thickBot="1">
      <c r="A563" s="64"/>
      <c r="I563" s="70"/>
    </row>
    <row r="564" spans="1:9" ht="15" thickBot="1">
      <c r="A564" s="64"/>
      <c r="I564" s="70"/>
    </row>
    <row r="565" spans="1:9" ht="15" thickBot="1">
      <c r="A565" s="64"/>
      <c r="I565" s="70"/>
    </row>
    <row r="566" spans="1:9" ht="15" thickBot="1">
      <c r="A566" s="64"/>
      <c r="I566" s="70"/>
    </row>
    <row r="567" spans="1:9" ht="15" thickBot="1">
      <c r="A567" s="64"/>
      <c r="I567" s="70"/>
    </row>
    <row r="568" spans="1:9" ht="15" thickBot="1">
      <c r="A568" s="64"/>
      <c r="I568" s="70"/>
    </row>
    <row r="569" spans="1:9" ht="15" thickBot="1">
      <c r="A569" s="64"/>
      <c r="I569" s="70"/>
    </row>
    <row r="570" spans="1:9" ht="15" thickBot="1">
      <c r="A570" s="64"/>
      <c r="I570" s="70"/>
    </row>
    <row r="571" spans="1:9" ht="15" thickBot="1">
      <c r="A571" s="64"/>
      <c r="I571" s="70"/>
    </row>
    <row r="572" spans="1:9" ht="15" thickBot="1">
      <c r="A572" s="64"/>
      <c r="I572" s="70"/>
    </row>
    <row r="573" spans="1:9" ht="15" thickBot="1">
      <c r="A573" s="64"/>
      <c r="I573" s="70"/>
    </row>
    <row r="574" spans="1:9" ht="15" thickBot="1">
      <c r="A574" s="64"/>
      <c r="I574" s="70"/>
    </row>
    <row r="575" spans="1:9" ht="15" thickBot="1">
      <c r="A575" s="64"/>
      <c r="I575" s="70"/>
    </row>
    <row r="576" spans="1:9" ht="15" thickBot="1">
      <c r="A576" s="64"/>
      <c r="I576" s="70"/>
    </row>
    <row r="577" spans="1:9" ht="15" thickBot="1">
      <c r="A577" s="64"/>
      <c r="I577" s="70"/>
    </row>
    <row r="578" spans="1:9" ht="15" thickBot="1">
      <c r="A578" s="64"/>
      <c r="I578" s="70"/>
    </row>
    <row r="579" spans="1:9" ht="15" thickBot="1">
      <c r="A579" s="64"/>
      <c r="I579" s="70"/>
    </row>
    <row r="580" spans="1:9" ht="15" thickBot="1">
      <c r="A580" s="64"/>
      <c r="I580" s="70"/>
    </row>
    <row r="581" spans="1:9" ht="15" thickBot="1">
      <c r="A581" s="64"/>
      <c r="I581" s="70"/>
    </row>
    <row r="582" spans="1:9" ht="15" thickBot="1">
      <c r="A582" s="64"/>
      <c r="I582" s="70"/>
    </row>
    <row r="583" spans="1:9" ht="15" thickBot="1">
      <c r="A583" s="64"/>
      <c r="I583" s="70"/>
    </row>
    <row r="584" spans="1:9" ht="15" thickBot="1">
      <c r="A584" s="64"/>
      <c r="I584" s="70"/>
    </row>
    <row r="585" spans="1:9" ht="15" thickBot="1">
      <c r="A585" s="64"/>
      <c r="I585" s="70"/>
    </row>
    <row r="586" spans="1:9" ht="15" thickBot="1">
      <c r="A586" s="64"/>
      <c r="I586" s="70"/>
    </row>
    <row r="587" spans="1:9" ht="15" thickBot="1">
      <c r="A587" s="64"/>
      <c r="I587" s="70"/>
    </row>
    <row r="588" spans="1:9" ht="15" thickBot="1">
      <c r="A588" s="64"/>
      <c r="I588" s="70"/>
    </row>
    <row r="589" spans="1:9" ht="15" thickBot="1">
      <c r="A589" s="64"/>
      <c r="I589" s="70"/>
    </row>
    <row r="590" spans="1:9" ht="15" thickBot="1">
      <c r="A590" s="64"/>
      <c r="I590" s="70"/>
    </row>
    <row r="591" spans="1:9" ht="15" thickBot="1">
      <c r="A591" s="64"/>
      <c r="I591" s="70"/>
    </row>
    <row r="592" spans="1:9" ht="15" thickBot="1">
      <c r="A592" s="64"/>
      <c r="I592" s="70"/>
    </row>
    <row r="593" spans="1:9" ht="15" thickBot="1">
      <c r="A593" s="64"/>
      <c r="I593" s="70"/>
    </row>
    <row r="594" spans="1:9" ht="15" thickBot="1">
      <c r="A594" s="64"/>
      <c r="I594" s="70"/>
    </row>
    <row r="595" spans="1:9" ht="15" thickBot="1">
      <c r="A595" s="64"/>
      <c r="I595" s="70"/>
    </row>
    <row r="596" spans="1:9" ht="15" thickBot="1">
      <c r="A596" s="64"/>
      <c r="I596" s="70"/>
    </row>
    <row r="597" spans="1:9" ht="15" thickBot="1">
      <c r="A597" s="64"/>
      <c r="I597" s="70"/>
    </row>
    <row r="598" spans="1:9" ht="15" thickBot="1">
      <c r="A598" s="64"/>
      <c r="I598" s="70"/>
    </row>
    <row r="599" spans="1:9" ht="15" thickBot="1">
      <c r="A599" s="64"/>
      <c r="I599" s="70"/>
    </row>
    <row r="600" spans="1:9" ht="15" thickBot="1">
      <c r="A600" s="64"/>
      <c r="I600" s="70"/>
    </row>
    <row r="601" spans="1:9" ht="15" thickBot="1">
      <c r="A601" s="64"/>
      <c r="I601" s="70"/>
    </row>
    <row r="602" spans="1:9" ht="15" thickBot="1">
      <c r="A602" s="64"/>
      <c r="I602" s="70"/>
    </row>
    <row r="603" spans="1:9" ht="15" thickBot="1">
      <c r="A603" s="64"/>
      <c r="I603" s="70"/>
    </row>
    <row r="604" spans="1:9" ht="15" thickBot="1">
      <c r="A604" s="64"/>
      <c r="I604" s="70"/>
    </row>
    <row r="605" spans="1:9" ht="15" thickBot="1">
      <c r="A605" s="64"/>
      <c r="I605" s="70"/>
    </row>
    <row r="606" spans="1:9" ht="15" thickBot="1">
      <c r="A606" s="64"/>
      <c r="I606" s="70"/>
    </row>
    <row r="607" spans="1:9" ht="15" thickBot="1">
      <c r="A607" s="64"/>
      <c r="I607" s="70"/>
    </row>
    <row r="608" spans="1:9" ht="15" thickBot="1">
      <c r="A608" s="64"/>
      <c r="I608" s="70"/>
    </row>
    <row r="609" spans="1:9" ht="15" thickBot="1">
      <c r="A609" s="64"/>
      <c r="I609" s="70"/>
    </row>
    <row r="610" spans="1:9" ht="15" thickBot="1">
      <c r="A610" s="64"/>
      <c r="I610" s="70"/>
    </row>
    <row r="611" spans="1:9" ht="15" thickBot="1">
      <c r="A611" s="64"/>
      <c r="I611" s="70"/>
    </row>
    <row r="612" spans="1:9" ht="15" thickBot="1">
      <c r="A612" s="64"/>
      <c r="I612" s="70"/>
    </row>
    <row r="613" spans="1:9" ht="15" thickBot="1">
      <c r="A613" s="64"/>
      <c r="I613" s="70"/>
    </row>
    <row r="614" spans="1:9" ht="15" thickBot="1">
      <c r="A614" s="64"/>
      <c r="I614" s="70"/>
    </row>
    <row r="615" spans="1:9" ht="15" thickBot="1">
      <c r="A615" s="64"/>
      <c r="I615" s="70"/>
    </row>
    <row r="616" spans="1:9" ht="15" thickBot="1">
      <c r="A616" s="64"/>
      <c r="I616" s="70"/>
    </row>
    <row r="617" spans="1:9" ht="15" thickBot="1">
      <c r="A617" s="64"/>
      <c r="I617" s="70"/>
    </row>
    <row r="618" spans="1:9" ht="15" thickBot="1">
      <c r="A618" s="64"/>
      <c r="I618" s="70"/>
    </row>
    <row r="619" spans="1:9" ht="15" thickBot="1">
      <c r="A619" s="64"/>
      <c r="I619" s="70"/>
    </row>
    <row r="620" spans="1:9" ht="15" thickBot="1">
      <c r="A620" s="64"/>
      <c r="I620" s="70"/>
    </row>
    <row r="621" spans="1:9" ht="15" thickBot="1">
      <c r="A621" s="64"/>
      <c r="I621" s="70"/>
    </row>
    <row r="622" spans="1:9" ht="15" thickBot="1">
      <c r="A622" s="64"/>
      <c r="I622" s="70"/>
    </row>
    <row r="623" spans="1:9" ht="15" thickBot="1">
      <c r="A623" s="64"/>
      <c r="I623" s="70"/>
    </row>
    <row r="624" spans="1:9" ht="15" thickBot="1">
      <c r="A624" s="64"/>
      <c r="I624" s="70"/>
    </row>
    <row r="625" spans="1:9" ht="15" thickBot="1">
      <c r="A625" s="64"/>
      <c r="I625" s="70"/>
    </row>
    <row r="626" spans="1:9" ht="15" thickBot="1">
      <c r="A626" s="64"/>
      <c r="I626" s="70"/>
    </row>
    <row r="627" spans="1:9" ht="15" thickBot="1">
      <c r="A627" s="64"/>
      <c r="I627" s="70"/>
    </row>
    <row r="628" spans="1:9" ht="15" thickBot="1">
      <c r="A628" s="64"/>
      <c r="I628" s="70"/>
    </row>
    <row r="629" spans="1:9" ht="15" thickBot="1">
      <c r="A629" s="64"/>
      <c r="I629" s="70"/>
    </row>
    <row r="630" spans="1:9" ht="15" thickBot="1">
      <c r="A630" s="64"/>
      <c r="I630" s="70"/>
    </row>
    <row r="631" spans="1:9" ht="15" thickBot="1">
      <c r="A631" s="64"/>
      <c r="I631" s="70"/>
    </row>
    <row r="632" spans="1:9" ht="15" thickBot="1">
      <c r="A632" s="64"/>
      <c r="I632" s="70"/>
    </row>
    <row r="633" spans="1:9" ht="15" thickBot="1">
      <c r="A633" s="64"/>
      <c r="I633" s="70"/>
    </row>
    <row r="634" spans="1:9" ht="15" thickBot="1">
      <c r="A634" s="64"/>
      <c r="I634" s="70"/>
    </row>
    <row r="635" spans="1:9" ht="15" thickBot="1">
      <c r="A635" s="64"/>
      <c r="I635" s="70"/>
    </row>
    <row r="636" spans="1:9" ht="15" thickBot="1">
      <c r="A636" s="64"/>
      <c r="I636" s="70"/>
    </row>
    <row r="637" spans="1:9" ht="15" thickBot="1">
      <c r="A637" s="64"/>
      <c r="I637" s="70"/>
    </row>
    <row r="638" spans="1:9" ht="15" thickBot="1">
      <c r="A638" s="64"/>
      <c r="I638" s="70"/>
    </row>
    <row r="639" spans="1:9" ht="15" thickBot="1">
      <c r="A639" s="64"/>
      <c r="I639" s="70"/>
    </row>
    <row r="640" spans="1:9" ht="15" thickBot="1">
      <c r="A640" s="64"/>
      <c r="I640" s="70"/>
    </row>
    <row r="641" spans="1:9" ht="15" thickBot="1">
      <c r="A641" s="64"/>
      <c r="I641" s="70"/>
    </row>
    <row r="642" spans="1:9" ht="15" thickBot="1">
      <c r="A642" s="64"/>
      <c r="I642" s="70"/>
    </row>
    <row r="643" spans="1:9" ht="15" thickBot="1">
      <c r="A643" s="64"/>
      <c r="I643" s="70"/>
    </row>
    <row r="644" spans="1:9" ht="15" thickBot="1">
      <c r="A644" s="64"/>
      <c r="I644" s="70"/>
    </row>
    <row r="645" spans="1:9" ht="15" thickBot="1">
      <c r="A645" s="64"/>
      <c r="I645" s="70"/>
    </row>
    <row r="646" spans="1:9" ht="15" thickBot="1">
      <c r="A646" s="64"/>
      <c r="I646" s="70"/>
    </row>
    <row r="647" spans="1:9" ht="15" thickBot="1">
      <c r="A647" s="64"/>
      <c r="I647" s="70"/>
    </row>
    <row r="648" spans="1:9" ht="15" thickBot="1">
      <c r="A648" s="64"/>
      <c r="I648" s="70"/>
    </row>
    <row r="649" spans="1:9" ht="15" thickBot="1">
      <c r="A649" s="64"/>
      <c r="I649" s="70"/>
    </row>
    <row r="650" spans="1:9" ht="15" thickBot="1">
      <c r="A650" s="64"/>
      <c r="I650" s="70"/>
    </row>
    <row r="651" spans="1:9" ht="15" thickBot="1">
      <c r="A651" s="64"/>
      <c r="I651" s="70"/>
    </row>
    <row r="652" spans="1:9" ht="15" thickBot="1">
      <c r="A652" s="64"/>
      <c r="I652" s="70"/>
    </row>
    <row r="653" spans="1:9" ht="15" thickBot="1">
      <c r="A653" s="64"/>
      <c r="I653" s="70"/>
    </row>
    <row r="654" spans="1:9" ht="15" thickBot="1">
      <c r="A654" s="64"/>
      <c r="I654" s="70"/>
    </row>
    <row r="655" spans="1:9" ht="15" thickBot="1">
      <c r="A655" s="64"/>
      <c r="I655" s="70"/>
    </row>
    <row r="656" spans="1:9" ht="15" thickBot="1">
      <c r="A656" s="64"/>
      <c r="I656" s="70"/>
    </row>
    <row r="657" spans="1:9" ht="15" thickBot="1">
      <c r="A657" s="64"/>
      <c r="I657" s="70"/>
    </row>
    <row r="658" spans="1:9" ht="15" thickBot="1">
      <c r="A658" s="64"/>
      <c r="I658" s="70"/>
    </row>
    <row r="659" spans="1:9" ht="15" thickBot="1">
      <c r="A659" s="64"/>
      <c r="I659" s="70"/>
    </row>
    <row r="660" spans="1:9" ht="15" thickBot="1">
      <c r="A660" s="64"/>
      <c r="I660" s="70"/>
    </row>
    <row r="661" spans="1:9" ht="15" thickBot="1">
      <c r="A661" s="64"/>
      <c r="I661" s="70"/>
    </row>
    <row r="662" spans="1:9" ht="15" thickBot="1">
      <c r="A662" s="64"/>
      <c r="I662" s="70"/>
    </row>
    <row r="663" spans="1:9" ht="15" thickBot="1">
      <c r="A663" s="64"/>
      <c r="I663" s="70"/>
    </row>
    <row r="664" spans="1:9" ht="15" thickBot="1">
      <c r="A664" s="64"/>
      <c r="I664" s="70"/>
    </row>
    <row r="665" spans="1:9" ht="15" thickBot="1">
      <c r="A665" s="64"/>
      <c r="I665" s="70"/>
    </row>
    <row r="666" spans="1:9" ht="15" thickBot="1">
      <c r="A666" s="64"/>
      <c r="I666" s="70"/>
    </row>
    <row r="667" spans="1:9" ht="15" thickBot="1">
      <c r="A667" s="64"/>
      <c r="I667" s="70"/>
    </row>
    <row r="668" spans="1:9" ht="15" thickBot="1">
      <c r="A668" s="64"/>
      <c r="I668" s="70"/>
    </row>
    <row r="669" spans="1:9" ht="15" thickBot="1">
      <c r="A669" s="64"/>
      <c r="I669" s="70"/>
    </row>
    <row r="670" spans="1:9" ht="15" thickBot="1">
      <c r="A670" s="64"/>
      <c r="I670" s="70"/>
    </row>
    <row r="671" spans="1:9" ht="15" thickBot="1">
      <c r="A671" s="64"/>
      <c r="I671" s="70"/>
    </row>
    <row r="672" spans="1:9" ht="15" thickBot="1">
      <c r="A672" s="64"/>
      <c r="I672" s="70"/>
    </row>
    <row r="673" spans="1:9" ht="15" thickBot="1">
      <c r="A673" s="64"/>
      <c r="I673" s="70"/>
    </row>
    <row r="674" spans="1:9" ht="15" thickBot="1">
      <c r="A674" s="64"/>
      <c r="I674" s="70"/>
    </row>
    <row r="675" spans="1:9" ht="15" thickBot="1">
      <c r="A675" s="64"/>
      <c r="I675" s="70"/>
    </row>
    <row r="676" spans="1:9" ht="15" thickBot="1">
      <c r="A676" s="64"/>
      <c r="I676" s="70"/>
    </row>
    <row r="677" spans="1:9" ht="15" thickBot="1">
      <c r="A677" s="64"/>
      <c r="I677" s="70"/>
    </row>
    <row r="678" spans="1:9" ht="15" thickBot="1">
      <c r="A678" s="64"/>
      <c r="I678" s="70"/>
    </row>
    <row r="679" spans="1:9" ht="15" thickBot="1">
      <c r="A679" s="64"/>
      <c r="I679" s="70"/>
    </row>
    <row r="680" spans="1:9" ht="15" thickBot="1">
      <c r="A680" s="64"/>
      <c r="I680" s="70"/>
    </row>
    <row r="681" spans="1:9" ht="15" thickBot="1">
      <c r="A681" s="64"/>
      <c r="I681" s="70"/>
    </row>
    <row r="682" spans="1:9" ht="15" thickBot="1">
      <c r="A682" s="64"/>
      <c r="I682" s="70"/>
    </row>
    <row r="683" spans="1:9" ht="15" thickBot="1">
      <c r="A683" s="64"/>
      <c r="I683" s="70"/>
    </row>
    <row r="684" spans="1:9" ht="15" thickBot="1">
      <c r="A684" s="64"/>
      <c r="I684" s="70"/>
    </row>
    <row r="685" spans="1:9" ht="15" thickBot="1">
      <c r="A685" s="64"/>
      <c r="I685" s="70"/>
    </row>
    <row r="686" spans="1:9" ht="15" thickBot="1">
      <c r="A686" s="64"/>
      <c r="I686" s="70"/>
    </row>
    <row r="687" spans="1:9" ht="15" thickBot="1">
      <c r="A687" s="64"/>
      <c r="I687" s="70"/>
    </row>
    <row r="688" spans="1:9" ht="15" thickBot="1">
      <c r="A688" s="64"/>
      <c r="I688" s="70"/>
    </row>
    <row r="689" spans="1:9" ht="15" thickBot="1">
      <c r="A689" s="64"/>
      <c r="I689" s="70"/>
    </row>
    <row r="690" spans="1:9" ht="15" thickBot="1">
      <c r="A690" s="64"/>
      <c r="I690" s="70"/>
    </row>
    <row r="691" spans="1:9" ht="15" thickBot="1">
      <c r="A691" s="64"/>
      <c r="I691" s="70"/>
    </row>
    <row r="692" spans="1:9" ht="15" thickBot="1">
      <c r="A692" s="64"/>
      <c r="I692" s="70"/>
    </row>
    <row r="693" spans="1:9" ht="15" thickBot="1">
      <c r="A693" s="64"/>
      <c r="I693" s="70"/>
    </row>
    <row r="694" spans="1:9" ht="15" thickBot="1">
      <c r="A694" s="64"/>
      <c r="I694" s="70"/>
    </row>
    <row r="695" spans="1:9" ht="15" thickBot="1">
      <c r="A695" s="64"/>
      <c r="I695" s="70"/>
    </row>
    <row r="696" spans="1:9" ht="15" thickBot="1">
      <c r="A696" s="64"/>
      <c r="I696" s="70"/>
    </row>
    <row r="697" spans="1:9" ht="15" thickBot="1">
      <c r="A697" s="64"/>
      <c r="I697" s="70"/>
    </row>
    <row r="698" spans="1:9" ht="15" thickBot="1">
      <c r="A698" s="64"/>
      <c r="I698" s="70"/>
    </row>
    <row r="699" spans="1:9" ht="15" thickBot="1">
      <c r="A699" s="64"/>
      <c r="I699" s="70"/>
    </row>
    <row r="700" spans="1:9" ht="15" thickBot="1">
      <c r="A700" s="64"/>
      <c r="I700" s="70"/>
    </row>
    <row r="701" spans="1:9" ht="15" thickBot="1">
      <c r="A701" s="64"/>
      <c r="I701" s="70"/>
    </row>
    <row r="702" spans="1:9" ht="15" thickBot="1">
      <c r="A702" s="64"/>
      <c r="I702" s="70"/>
    </row>
    <row r="703" spans="1:9" ht="15" thickBot="1">
      <c r="A703" s="64"/>
      <c r="I703" s="70"/>
    </row>
    <row r="704" spans="1:9" ht="15" thickBot="1">
      <c r="A704" s="64"/>
      <c r="I704" s="70"/>
    </row>
    <row r="705" spans="1:9" ht="15" thickBot="1">
      <c r="A705" s="64"/>
      <c r="I705" s="70"/>
    </row>
    <row r="706" spans="1:9" ht="15" thickBot="1">
      <c r="A706" s="64"/>
      <c r="I706" s="70"/>
    </row>
    <row r="707" spans="1:9" ht="15" thickBot="1">
      <c r="A707" s="64"/>
      <c r="I707" s="70"/>
    </row>
    <row r="708" spans="1:9" ht="15" thickBot="1">
      <c r="A708" s="64"/>
      <c r="I708" s="70"/>
    </row>
    <row r="709" spans="1:9" ht="15" thickBot="1">
      <c r="A709" s="64"/>
      <c r="I709" s="70"/>
    </row>
    <row r="710" spans="1:9" ht="15" thickBot="1">
      <c r="A710" s="64"/>
      <c r="I710" s="70"/>
    </row>
    <row r="711" spans="1:9" ht="15" thickBot="1">
      <c r="A711" s="64"/>
      <c r="I711" s="70"/>
    </row>
    <row r="712" spans="1:9" ht="15" thickBot="1">
      <c r="A712" s="64"/>
      <c r="I712" s="70"/>
    </row>
    <row r="713" spans="1:9" ht="15" thickBot="1">
      <c r="A713" s="64"/>
      <c r="I713" s="70"/>
    </row>
    <row r="714" spans="1:9" ht="15" thickBot="1">
      <c r="A714" s="64"/>
      <c r="I714" s="70"/>
    </row>
    <row r="715" spans="1:9" ht="15" thickBot="1">
      <c r="A715" s="64"/>
      <c r="I715" s="70"/>
    </row>
    <row r="716" spans="1:9" ht="15" thickBot="1">
      <c r="A716" s="64"/>
      <c r="I716" s="70"/>
    </row>
    <row r="717" spans="1:9" ht="15" thickBot="1">
      <c r="A717" s="64"/>
      <c r="I717" s="70"/>
    </row>
    <row r="718" spans="1:9" ht="15" thickBot="1">
      <c r="A718" s="64"/>
      <c r="I718" s="70"/>
    </row>
    <row r="719" spans="1:9" ht="15" thickBot="1">
      <c r="A719" s="64"/>
      <c r="I719" s="70"/>
    </row>
    <row r="720" spans="1:9" ht="15" thickBot="1">
      <c r="A720" s="64"/>
      <c r="I720" s="70"/>
    </row>
    <row r="721" spans="1:9" ht="15" thickBot="1">
      <c r="A721" s="64"/>
      <c r="I721" s="70"/>
    </row>
    <row r="722" spans="1:9" ht="15" thickBot="1">
      <c r="A722" s="64"/>
      <c r="I722" s="70"/>
    </row>
    <row r="723" spans="1:9" ht="15" thickBot="1">
      <c r="A723" s="64"/>
      <c r="I723" s="70"/>
    </row>
    <row r="724" spans="1:9" ht="15" thickBot="1">
      <c r="A724" s="64"/>
      <c r="I724" s="70"/>
    </row>
    <row r="725" spans="1:9" ht="15" thickBot="1">
      <c r="A725" s="64"/>
      <c r="I725" s="70"/>
    </row>
    <row r="726" spans="1:9" ht="15" thickBot="1">
      <c r="A726" s="64"/>
      <c r="I726" s="70"/>
    </row>
    <row r="727" spans="1:9" ht="15" thickBot="1">
      <c r="A727" s="64"/>
      <c r="I727" s="70"/>
    </row>
    <row r="728" spans="1:9" ht="15" thickBot="1">
      <c r="A728" s="64"/>
      <c r="I728" s="70"/>
    </row>
    <row r="729" spans="1:9" ht="15" thickBot="1">
      <c r="A729" s="64"/>
      <c r="I729" s="70"/>
    </row>
    <row r="730" spans="1:9" ht="15" thickBot="1">
      <c r="A730" s="64"/>
      <c r="I730" s="70"/>
    </row>
    <row r="731" spans="1:9" ht="15" thickBot="1">
      <c r="A731" s="64"/>
      <c r="I731" s="70"/>
    </row>
    <row r="732" spans="1:9" ht="15" thickBot="1">
      <c r="A732" s="64"/>
      <c r="I732" s="70"/>
    </row>
    <row r="733" spans="1:9" ht="15" thickBot="1">
      <c r="A733" s="64"/>
      <c r="I733" s="70"/>
    </row>
    <row r="734" spans="1:9" ht="15" thickBot="1">
      <c r="A734" s="64"/>
      <c r="I734" s="70"/>
    </row>
    <row r="735" spans="1:9" ht="15" thickBot="1">
      <c r="A735" s="64"/>
      <c r="I735" s="70"/>
    </row>
    <row r="736" spans="1:9" ht="15" thickBot="1">
      <c r="A736" s="64"/>
      <c r="I736" s="70"/>
    </row>
    <row r="737" spans="1:9" ht="15" thickBot="1">
      <c r="A737" s="64"/>
      <c r="I737" s="70"/>
    </row>
    <row r="738" spans="1:9" ht="15" thickBot="1">
      <c r="A738" s="64"/>
      <c r="I738" s="70"/>
    </row>
    <row r="739" spans="1:9" ht="15" thickBot="1">
      <c r="A739" s="64"/>
      <c r="I739" s="70"/>
    </row>
    <row r="740" spans="1:9" ht="15" thickBot="1">
      <c r="A740" s="64"/>
      <c r="I740" s="70"/>
    </row>
    <row r="741" spans="1:9" ht="15" thickBot="1">
      <c r="A741" s="64"/>
      <c r="I741" s="70"/>
    </row>
    <row r="742" spans="1:9" ht="15" thickBot="1">
      <c r="A742" s="64"/>
      <c r="I742" s="70"/>
    </row>
    <row r="743" spans="1:9" ht="15" thickBot="1">
      <c r="A743" s="64"/>
      <c r="I743" s="70"/>
    </row>
    <row r="744" spans="1:9" ht="15" thickBot="1">
      <c r="A744" s="64"/>
      <c r="I744" s="70"/>
    </row>
    <row r="745" spans="1:9" ht="15" thickBot="1">
      <c r="A745" s="64"/>
      <c r="I745" s="70"/>
    </row>
    <row r="746" spans="1:9" ht="15" thickBot="1">
      <c r="A746" s="64"/>
      <c r="I746" s="70"/>
    </row>
    <row r="747" spans="1:9" ht="15" thickBot="1">
      <c r="A747" s="64"/>
      <c r="I747" s="70"/>
    </row>
    <row r="748" spans="1:9" ht="15" thickBot="1">
      <c r="A748" s="64"/>
      <c r="I748" s="70"/>
    </row>
    <row r="749" spans="1:9" ht="15" thickBot="1">
      <c r="A749" s="64"/>
      <c r="I749" s="70"/>
    </row>
    <row r="750" spans="1:9" ht="15" thickBot="1">
      <c r="A750" s="64"/>
      <c r="I750" s="70"/>
    </row>
    <row r="751" spans="1:9" ht="15" thickBot="1">
      <c r="A751" s="64"/>
      <c r="I751" s="70"/>
    </row>
    <row r="752" spans="1:9" ht="15" thickBot="1">
      <c r="A752" s="64"/>
      <c r="I752" s="70"/>
    </row>
    <row r="753" spans="1:9" ht="15" thickBot="1">
      <c r="A753" s="64"/>
      <c r="I753" s="70"/>
    </row>
    <row r="754" spans="1:9" ht="15" thickBot="1">
      <c r="A754" s="64"/>
      <c r="I754" s="70"/>
    </row>
    <row r="755" spans="1:9" ht="15" thickBot="1">
      <c r="A755" s="64"/>
      <c r="I755" s="70"/>
    </row>
    <row r="756" spans="1:9" ht="15" thickBot="1">
      <c r="A756" s="64"/>
      <c r="I756" s="70"/>
    </row>
    <row r="757" spans="1:9" ht="15" thickBot="1">
      <c r="A757" s="64"/>
      <c r="I757" s="70"/>
    </row>
    <row r="758" spans="1:9" ht="15" thickBot="1">
      <c r="A758" s="64"/>
      <c r="I758" s="70"/>
    </row>
    <row r="759" spans="1:9" ht="15" thickBot="1">
      <c r="A759" s="64"/>
      <c r="I759" s="70"/>
    </row>
    <row r="760" spans="1:9" ht="15" thickBot="1">
      <c r="A760" s="64"/>
      <c r="I760" s="70"/>
    </row>
    <row r="761" spans="1:9" ht="15" thickBot="1">
      <c r="A761" s="64"/>
      <c r="I761" s="70"/>
    </row>
    <row r="762" spans="1:9" ht="15" thickBot="1">
      <c r="A762" s="64"/>
      <c r="I762" s="70"/>
    </row>
    <row r="763" spans="1:9" ht="15" thickBot="1">
      <c r="A763" s="64"/>
      <c r="I763" s="70"/>
    </row>
    <row r="764" spans="1:9" ht="15" thickBot="1">
      <c r="A764" s="64"/>
      <c r="I764" s="70"/>
    </row>
    <row r="765" spans="1:9" ht="15" thickBot="1">
      <c r="A765" s="64"/>
      <c r="I765" s="70"/>
    </row>
    <row r="766" spans="1:9" ht="15" thickBot="1">
      <c r="A766" s="64"/>
      <c r="I766" s="70"/>
    </row>
    <row r="767" spans="1:9" ht="15" thickBot="1">
      <c r="A767" s="64"/>
      <c r="I767" s="70"/>
    </row>
    <row r="768" spans="1:9" ht="15" thickBot="1">
      <c r="A768" s="64"/>
      <c r="I768" s="70"/>
    </row>
    <row r="769" spans="1:9" ht="15" thickBot="1">
      <c r="A769" s="64"/>
      <c r="I769" s="70"/>
    </row>
    <row r="770" spans="1:9" ht="15" thickBot="1">
      <c r="A770" s="64"/>
      <c r="I770" s="70"/>
    </row>
    <row r="771" spans="1:9" ht="15" thickBot="1">
      <c r="A771" s="64"/>
      <c r="I771" s="70"/>
    </row>
    <row r="772" spans="1:9" ht="15" thickBot="1">
      <c r="A772" s="64"/>
      <c r="I772" s="70"/>
    </row>
    <row r="773" spans="1:9" ht="15" thickBot="1">
      <c r="A773" s="64"/>
      <c r="I773" s="70"/>
    </row>
    <row r="774" spans="1:9" ht="15" thickBot="1">
      <c r="A774" s="64"/>
      <c r="I774" s="70"/>
    </row>
    <row r="775" spans="1:9" ht="15" thickBot="1">
      <c r="A775" s="64"/>
      <c r="I775" s="70"/>
    </row>
    <row r="776" spans="1:9" ht="15" thickBot="1">
      <c r="A776" s="64"/>
      <c r="I776" s="70"/>
    </row>
    <row r="777" spans="1:9" ht="15" thickBot="1">
      <c r="A777" s="64"/>
      <c r="I777" s="70"/>
    </row>
    <row r="778" spans="1:9" ht="15" thickBot="1">
      <c r="A778" s="64"/>
      <c r="I778" s="70"/>
    </row>
    <row r="779" spans="1:9" ht="15" thickBot="1">
      <c r="A779" s="64"/>
      <c r="I779" s="70"/>
    </row>
    <row r="780" spans="1:9" ht="15" thickBot="1">
      <c r="A780" s="64"/>
      <c r="I780" s="70"/>
    </row>
    <row r="781" spans="1:9" ht="15" thickBot="1">
      <c r="A781" s="64"/>
      <c r="I781" s="70"/>
    </row>
    <row r="782" spans="1:9" ht="15" thickBot="1">
      <c r="A782" s="64"/>
      <c r="I782" s="70"/>
    </row>
    <row r="783" spans="1:9" ht="15" thickBot="1">
      <c r="A783" s="64"/>
      <c r="I783" s="70"/>
    </row>
    <row r="784" spans="1:9" ht="15" thickBot="1">
      <c r="A784" s="64"/>
      <c r="I784" s="70"/>
    </row>
    <row r="785" spans="1:9" ht="15" thickBot="1">
      <c r="A785" s="64"/>
      <c r="I785" s="70"/>
    </row>
    <row r="786" spans="1:9" ht="15" thickBot="1">
      <c r="A786" s="64"/>
      <c r="I786" s="70"/>
    </row>
    <row r="787" spans="1:9" ht="15" thickBot="1">
      <c r="A787" s="64"/>
      <c r="I787" s="70"/>
    </row>
    <row r="788" spans="1:9" ht="15" thickBot="1">
      <c r="A788" s="64"/>
      <c r="I788" s="70"/>
    </row>
    <row r="789" spans="1:9" ht="15" thickBot="1">
      <c r="A789" s="64"/>
      <c r="I789" s="70"/>
    </row>
    <row r="790" spans="1:9" ht="15" thickBot="1">
      <c r="A790" s="64"/>
      <c r="I790" s="70"/>
    </row>
    <row r="791" spans="1:9" ht="15" thickBot="1">
      <c r="A791" s="64"/>
      <c r="I791" s="70"/>
    </row>
    <row r="792" spans="1:9" ht="15" thickBot="1">
      <c r="A792" s="64"/>
      <c r="I792" s="70"/>
    </row>
    <row r="793" spans="1:9" ht="15" thickBot="1">
      <c r="A793" s="64"/>
      <c r="I793" s="70"/>
    </row>
    <row r="794" spans="1:9" ht="15" thickBot="1">
      <c r="A794" s="64"/>
      <c r="I794" s="70"/>
    </row>
    <row r="795" spans="1:9" ht="15" thickBot="1">
      <c r="A795" s="64"/>
      <c r="I795" s="70"/>
    </row>
    <row r="796" spans="1:9" ht="15" thickBot="1">
      <c r="A796" s="64"/>
      <c r="I796" s="70"/>
    </row>
    <row r="797" spans="1:9" ht="15" thickBot="1">
      <c r="A797" s="64"/>
      <c r="I797" s="70"/>
    </row>
    <row r="798" spans="1:9" ht="15" thickBot="1">
      <c r="A798" s="64"/>
      <c r="I798" s="70"/>
    </row>
    <row r="799" spans="1:9" ht="15" thickBot="1">
      <c r="A799" s="64"/>
      <c r="I799" s="70"/>
    </row>
    <row r="800" spans="1:9" ht="15" thickBot="1">
      <c r="A800" s="64"/>
      <c r="I800" s="70"/>
    </row>
    <row r="801" spans="1:9" ht="15" thickBot="1">
      <c r="A801" s="64"/>
      <c r="I801" s="70"/>
    </row>
    <row r="802" spans="1:9" ht="15" thickBot="1">
      <c r="A802" s="64"/>
      <c r="I802" s="70"/>
    </row>
    <row r="803" spans="1:9" ht="15" thickBot="1">
      <c r="A803" s="64"/>
      <c r="I803" s="70"/>
    </row>
    <row r="804" spans="1:9" ht="15" thickBot="1">
      <c r="A804" s="64"/>
      <c r="I804" s="70"/>
    </row>
    <row r="805" spans="1:9" ht="15" thickBot="1">
      <c r="A805" s="64"/>
      <c r="I805" s="70"/>
    </row>
    <row r="806" spans="1:9" ht="15" thickBot="1">
      <c r="A806" s="64"/>
      <c r="I806" s="70"/>
    </row>
    <row r="807" spans="1:9" ht="15" thickBot="1">
      <c r="A807" s="64"/>
      <c r="I807" s="70"/>
    </row>
    <row r="808" spans="1:9" ht="15" thickBot="1">
      <c r="A808" s="64"/>
      <c r="I808" s="70"/>
    </row>
    <row r="809" spans="1:9" ht="15" thickBot="1">
      <c r="A809" s="64"/>
      <c r="I809" s="70"/>
    </row>
    <row r="810" spans="1:9" ht="15" thickBot="1">
      <c r="A810" s="64"/>
      <c r="I810" s="70"/>
    </row>
    <row r="811" spans="1:9" ht="15" thickBot="1">
      <c r="A811" s="64"/>
      <c r="I811" s="70"/>
    </row>
    <row r="812" spans="1:9" ht="15" thickBot="1">
      <c r="A812" s="64"/>
      <c r="I812" s="70"/>
    </row>
    <row r="813" spans="1:9" ht="15" thickBot="1">
      <c r="A813" s="64"/>
      <c r="I813" s="70"/>
    </row>
    <row r="814" spans="1:9" ht="15" thickBot="1">
      <c r="A814" s="64"/>
      <c r="I814" s="70"/>
    </row>
    <row r="815" spans="1:9" ht="15" thickBot="1">
      <c r="A815" s="64"/>
      <c r="I815" s="70"/>
    </row>
    <row r="816" spans="1:9" ht="15" thickBot="1">
      <c r="A816" s="64"/>
      <c r="I816" s="70"/>
    </row>
    <row r="817" spans="1:9" ht="15" thickBot="1">
      <c r="A817" s="64"/>
      <c r="I817" s="70"/>
    </row>
    <row r="818" spans="1:9" ht="15" thickBot="1">
      <c r="A818" s="64"/>
      <c r="I818" s="70"/>
    </row>
    <row r="819" spans="1:9" ht="15" thickBot="1">
      <c r="A819" s="64"/>
      <c r="I819" s="70"/>
    </row>
    <row r="820" spans="1:9" ht="15" thickBot="1">
      <c r="A820" s="64"/>
      <c r="I820" s="70"/>
    </row>
    <row r="821" spans="1:9" ht="15" thickBot="1">
      <c r="A821" s="64"/>
      <c r="I821" s="70"/>
    </row>
    <row r="822" spans="1:9" ht="15" thickBot="1">
      <c r="A822" s="64"/>
      <c r="I822" s="70"/>
    </row>
    <row r="823" spans="1:9" ht="15" thickBot="1">
      <c r="A823" s="64"/>
      <c r="I823" s="70"/>
    </row>
    <row r="824" spans="1:9" ht="15" thickBot="1">
      <c r="A824" s="64"/>
      <c r="I824" s="70"/>
    </row>
    <row r="825" spans="1:9" ht="15" thickBot="1">
      <c r="A825" s="64"/>
      <c r="I825" s="70"/>
    </row>
    <row r="826" spans="1:9" ht="15" thickBot="1">
      <c r="A826" s="64"/>
      <c r="I826" s="70"/>
    </row>
    <row r="827" spans="1:9" ht="15" thickBot="1">
      <c r="A827" s="64"/>
      <c r="I827" s="70"/>
    </row>
    <row r="828" spans="1:9" ht="15" thickBot="1">
      <c r="A828" s="64"/>
      <c r="I828" s="70"/>
    </row>
    <row r="829" spans="1:9" ht="15" thickBot="1">
      <c r="A829" s="64"/>
      <c r="I829" s="70"/>
    </row>
    <row r="830" spans="1:9" ht="15" thickBot="1">
      <c r="A830" s="64"/>
      <c r="I830" s="70"/>
    </row>
    <row r="831" spans="1:9" ht="15" thickBot="1">
      <c r="A831" s="64"/>
      <c r="I831" s="70"/>
    </row>
    <row r="832" spans="1:9" ht="15" thickBot="1">
      <c r="A832" s="64"/>
      <c r="I832" s="70"/>
    </row>
    <row r="833" spans="1:9" ht="15" thickBot="1">
      <c r="A833" s="64"/>
      <c r="I833" s="70"/>
    </row>
    <row r="834" spans="1:9" ht="15" thickBot="1">
      <c r="A834" s="64"/>
      <c r="I834" s="70"/>
    </row>
    <row r="835" spans="1:9" ht="15" thickBot="1">
      <c r="A835" s="64"/>
      <c r="I835" s="70"/>
    </row>
    <row r="836" spans="1:9" ht="15" thickBot="1">
      <c r="A836" s="64"/>
      <c r="I836" s="70"/>
    </row>
    <row r="837" spans="1:9" ht="15" thickBot="1">
      <c r="A837" s="64"/>
      <c r="I837" s="70"/>
    </row>
    <row r="838" spans="1:9" ht="15" thickBot="1">
      <c r="A838" s="64"/>
      <c r="I838" s="70"/>
    </row>
    <row r="839" spans="1:9" ht="15" thickBot="1">
      <c r="A839" s="64"/>
      <c r="I839" s="70"/>
    </row>
    <row r="840" spans="1:9" ht="15" thickBot="1">
      <c r="A840" s="64"/>
      <c r="I840" s="70"/>
    </row>
    <row r="841" spans="1:9" ht="15" thickBot="1">
      <c r="A841" s="64"/>
      <c r="I841" s="70"/>
    </row>
    <row r="842" spans="1:9" ht="15" thickBot="1">
      <c r="A842" s="64"/>
      <c r="I842" s="70"/>
    </row>
    <row r="843" spans="1:9" ht="15" thickBot="1">
      <c r="A843" s="64"/>
      <c r="I843" s="70"/>
    </row>
    <row r="844" spans="1:9" ht="15" thickBot="1">
      <c r="A844" s="64"/>
      <c r="I844" s="70"/>
    </row>
    <row r="845" spans="1:9" ht="15" thickBot="1">
      <c r="A845" s="64"/>
      <c r="I845" s="70"/>
    </row>
    <row r="846" spans="1:9" ht="15" thickBot="1">
      <c r="A846" s="64"/>
      <c r="I846" s="70"/>
    </row>
    <row r="847" spans="1:9" ht="15" thickBot="1">
      <c r="A847" s="64"/>
      <c r="I847" s="70"/>
    </row>
    <row r="848" spans="1:9" ht="15" thickBot="1">
      <c r="A848" s="64"/>
      <c r="I848" s="70"/>
    </row>
    <row r="849" spans="1:9" ht="15" thickBot="1">
      <c r="A849" s="64"/>
      <c r="I849" s="70"/>
    </row>
    <row r="850" spans="1:9" ht="15" thickBot="1">
      <c r="A850" s="64"/>
      <c r="I850" s="70"/>
    </row>
    <row r="851" spans="1:9" ht="15" thickBot="1">
      <c r="A851" s="64"/>
      <c r="I851" s="70"/>
    </row>
    <row r="852" spans="1:9" ht="15" thickBot="1">
      <c r="A852" s="64"/>
      <c r="I852" s="70"/>
    </row>
    <row r="853" spans="1:9" ht="15" thickBot="1">
      <c r="A853" s="64"/>
      <c r="I853" s="70"/>
    </row>
    <row r="854" spans="1:9" ht="15" thickBot="1">
      <c r="A854" s="64"/>
      <c r="I854" s="70"/>
    </row>
    <row r="855" spans="1:9" ht="15" thickBot="1">
      <c r="A855" s="64"/>
      <c r="I855" s="70"/>
    </row>
    <row r="856" spans="1:9" ht="15" thickBot="1">
      <c r="A856" s="64"/>
      <c r="I856" s="70"/>
    </row>
    <row r="857" spans="1:9" ht="15" thickBot="1">
      <c r="A857" s="64"/>
      <c r="I857" s="70"/>
    </row>
    <row r="858" spans="1:9" ht="15" thickBot="1">
      <c r="A858" s="64"/>
      <c r="I858" s="70"/>
    </row>
    <row r="859" spans="1:9" ht="15" thickBot="1">
      <c r="A859" s="64"/>
      <c r="I859" s="70"/>
    </row>
    <row r="860" spans="1:9" ht="15" thickBot="1">
      <c r="A860" s="64"/>
      <c r="I860" s="70"/>
    </row>
    <row r="861" spans="1:9" ht="15" thickBot="1">
      <c r="A861" s="64"/>
      <c r="I861" s="70"/>
    </row>
    <row r="862" spans="1:9" ht="15" thickBot="1">
      <c r="A862" s="64"/>
      <c r="I862" s="70"/>
    </row>
    <row r="863" spans="1:9" ht="15" thickBot="1">
      <c r="A863" s="64"/>
      <c r="I863" s="70"/>
    </row>
    <row r="864" spans="1:9" ht="15" thickBot="1">
      <c r="A864" s="64"/>
      <c r="I864" s="70"/>
    </row>
    <row r="865" spans="1:9" ht="15" thickBot="1">
      <c r="A865" s="64"/>
      <c r="I865" s="70"/>
    </row>
    <row r="866" spans="1:9" ht="15" thickBot="1">
      <c r="A866" s="64"/>
      <c r="I866" s="70"/>
    </row>
    <row r="867" spans="1:9" ht="15" thickBot="1">
      <c r="A867" s="64"/>
      <c r="I867" s="70"/>
    </row>
    <row r="868" spans="1:9" ht="15" thickBot="1">
      <c r="A868" s="64"/>
      <c r="I868" s="70"/>
    </row>
    <row r="869" spans="1:9" ht="15" thickBot="1">
      <c r="A869" s="64"/>
      <c r="I869" s="70"/>
    </row>
    <row r="870" spans="1:9" ht="15" thickBot="1">
      <c r="A870" s="64"/>
      <c r="I870" s="70"/>
    </row>
    <row r="871" spans="1:9" ht="15" thickBot="1">
      <c r="A871" s="64"/>
      <c r="I871" s="70"/>
    </row>
    <row r="872" spans="1:9" ht="15" thickBot="1">
      <c r="A872" s="64"/>
      <c r="I872" s="70"/>
    </row>
    <row r="873" spans="1:9" ht="15" thickBot="1">
      <c r="A873" s="64"/>
      <c r="I873" s="70"/>
    </row>
    <row r="874" spans="1:9" ht="15" thickBot="1">
      <c r="A874" s="64"/>
      <c r="I874" s="70"/>
    </row>
    <row r="875" spans="1:9" ht="15" thickBot="1">
      <c r="A875" s="64"/>
      <c r="I875" s="70"/>
    </row>
    <row r="876" spans="1:9" ht="15" thickBot="1">
      <c r="A876" s="64"/>
      <c r="I876" s="70"/>
    </row>
    <row r="877" spans="1:9" ht="15" thickBot="1">
      <c r="A877" s="64"/>
      <c r="I877" s="70"/>
    </row>
    <row r="878" spans="1:9" ht="15" thickBot="1">
      <c r="A878" s="64"/>
      <c r="I878" s="70"/>
    </row>
    <row r="879" spans="1:9" ht="15" thickBot="1">
      <c r="A879" s="64"/>
      <c r="I879" s="70"/>
    </row>
    <row r="880" spans="1:9" ht="15" thickBot="1">
      <c r="A880" s="64"/>
      <c r="I880" s="70"/>
    </row>
    <row r="881" spans="1:9" ht="15" thickBot="1">
      <c r="A881" s="64"/>
      <c r="I881" s="70"/>
    </row>
    <row r="882" spans="1:9" ht="15" thickBot="1">
      <c r="A882" s="64"/>
      <c r="I882" s="70"/>
    </row>
    <row r="883" spans="1:9" ht="15" thickBot="1">
      <c r="A883" s="64"/>
      <c r="I883" s="70"/>
    </row>
    <row r="884" spans="1:9" ht="15" thickBot="1">
      <c r="A884" s="64"/>
      <c r="I884" s="70"/>
    </row>
    <row r="885" spans="1:9" ht="15" thickBot="1">
      <c r="A885" s="64"/>
      <c r="I885" s="70"/>
    </row>
    <row r="886" spans="1:9" ht="15" thickBot="1">
      <c r="A886" s="64"/>
      <c r="I886" s="70"/>
    </row>
    <row r="887" spans="1:9" ht="15" thickBot="1">
      <c r="A887" s="64"/>
      <c r="I887" s="70"/>
    </row>
    <row r="888" spans="1:9" ht="15" thickBot="1">
      <c r="A888" s="64"/>
      <c r="I888" s="70"/>
    </row>
    <row r="889" spans="1:9" ht="15" thickBot="1">
      <c r="A889" s="64"/>
      <c r="I889" s="70"/>
    </row>
    <row r="890" spans="1:9" ht="15" thickBot="1">
      <c r="A890" s="64"/>
      <c r="I890" s="70"/>
    </row>
    <row r="891" spans="1:9" ht="15" thickBot="1">
      <c r="A891" s="64"/>
      <c r="I891" s="70"/>
    </row>
    <row r="892" spans="1:9" ht="15" thickBot="1">
      <c r="A892" s="64"/>
      <c r="I892" s="70"/>
    </row>
    <row r="893" spans="1:9" ht="15" thickBot="1">
      <c r="A893" s="64"/>
      <c r="I893" s="70"/>
    </row>
    <row r="894" spans="1:9" ht="15" thickBot="1">
      <c r="A894" s="64"/>
      <c r="I894" s="70"/>
    </row>
    <row r="895" spans="1:9" ht="15" thickBot="1">
      <c r="A895" s="64"/>
      <c r="I895" s="70"/>
    </row>
    <row r="896" spans="1:9" ht="15" thickBot="1">
      <c r="A896" s="64"/>
      <c r="I896" s="70"/>
    </row>
    <row r="897" spans="1:9" ht="15" thickBot="1">
      <c r="A897" s="64"/>
      <c r="I897" s="70"/>
    </row>
    <row r="898" spans="1:9" ht="15" thickBot="1">
      <c r="A898" s="64"/>
      <c r="I898" s="70"/>
    </row>
    <row r="899" spans="1:9" ht="15" thickBot="1">
      <c r="A899" s="64"/>
      <c r="I899" s="70"/>
    </row>
    <row r="900" spans="1:9" ht="15" thickBot="1">
      <c r="A900" s="64"/>
      <c r="I900" s="70"/>
    </row>
    <row r="901" spans="1:9" ht="15" thickBot="1">
      <c r="A901" s="64"/>
      <c r="I901" s="70"/>
    </row>
    <row r="902" spans="1:9" ht="15" thickBot="1">
      <c r="A902" s="64"/>
      <c r="I902" s="70"/>
    </row>
    <row r="903" spans="1:9" ht="15" thickBot="1">
      <c r="A903" s="64"/>
      <c r="I903" s="70"/>
    </row>
    <row r="904" spans="1:9" ht="15" thickBot="1">
      <c r="A904" s="64"/>
      <c r="I904" s="70"/>
    </row>
    <row r="905" spans="1:9" ht="15" thickBot="1">
      <c r="A905" s="64"/>
      <c r="I905" s="70"/>
    </row>
    <row r="906" spans="1:9" ht="15" thickBot="1">
      <c r="A906" s="64"/>
      <c r="I906" s="70"/>
    </row>
    <row r="907" spans="1:9" ht="15" thickBot="1">
      <c r="A907" s="64"/>
      <c r="I907" s="70"/>
    </row>
    <row r="908" spans="1:9" ht="15" thickBot="1">
      <c r="A908" s="64"/>
      <c r="I908" s="70"/>
    </row>
    <row r="909" spans="1:9" ht="15" thickBot="1">
      <c r="A909" s="64"/>
      <c r="I909" s="70"/>
    </row>
    <row r="910" spans="1:9" ht="15" thickBot="1">
      <c r="A910" s="64"/>
      <c r="I910" s="70"/>
    </row>
    <row r="911" spans="1:9" ht="15" thickBot="1">
      <c r="A911" s="64"/>
      <c r="I911" s="70"/>
    </row>
    <row r="912" spans="1:9" ht="15" thickBot="1">
      <c r="A912" s="64"/>
      <c r="I912" s="70"/>
    </row>
    <row r="913" spans="1:9" ht="15" thickBot="1">
      <c r="A913" s="64"/>
      <c r="I913" s="70"/>
    </row>
    <row r="914" spans="1:9" ht="15" thickBot="1">
      <c r="A914" s="64"/>
      <c r="I914" s="70"/>
    </row>
    <row r="915" spans="1:9" ht="15" thickBot="1">
      <c r="A915" s="64"/>
      <c r="I915" s="70"/>
    </row>
    <row r="916" spans="1:9" ht="15" thickBot="1">
      <c r="A916" s="64"/>
      <c r="I916" s="70"/>
    </row>
    <row r="917" spans="1:9" ht="15" thickBot="1">
      <c r="A917" s="64"/>
      <c r="I917" s="70"/>
    </row>
    <row r="918" spans="1:9" ht="15" thickBot="1">
      <c r="A918" s="64"/>
      <c r="I918" s="70"/>
    </row>
    <row r="919" spans="1:9" ht="15" thickBot="1">
      <c r="A919" s="64"/>
      <c r="I919" s="70"/>
    </row>
    <row r="920" spans="1:9" ht="15" thickBot="1">
      <c r="A920" s="64"/>
      <c r="I920" s="70"/>
    </row>
    <row r="921" spans="1:9" ht="15" thickBot="1">
      <c r="A921" s="64"/>
      <c r="I921" s="70"/>
    </row>
    <row r="922" spans="1:9" ht="15" thickBot="1">
      <c r="A922" s="64"/>
      <c r="I922" s="70"/>
    </row>
    <row r="923" spans="1:9" ht="15" thickBot="1">
      <c r="A923" s="64"/>
      <c r="I923" s="70"/>
    </row>
    <row r="924" spans="1:9" ht="15" thickBot="1">
      <c r="A924" s="64"/>
      <c r="I924" s="70"/>
    </row>
    <row r="925" spans="1:9" ht="15" thickBot="1">
      <c r="A925" s="64"/>
      <c r="I925" s="70"/>
    </row>
    <row r="926" spans="1:9" ht="15" thickBot="1">
      <c r="A926" s="64"/>
      <c r="I926" s="70"/>
    </row>
    <row r="927" spans="1:9" ht="15" thickBot="1">
      <c r="A927" s="64"/>
      <c r="I927" s="70"/>
    </row>
    <row r="928" spans="1:9" ht="15" thickBot="1">
      <c r="A928" s="64"/>
      <c r="I928" s="70"/>
    </row>
    <row r="929" spans="1:9" ht="15" thickBot="1">
      <c r="A929" s="64"/>
      <c r="I929" s="70"/>
    </row>
    <row r="930" spans="1:9" ht="15" thickBot="1">
      <c r="A930" s="64"/>
      <c r="I930" s="70"/>
    </row>
    <row r="931" spans="1:9" ht="15" thickBot="1">
      <c r="A931" s="64"/>
      <c r="I931" s="70"/>
    </row>
    <row r="932" spans="1:9" ht="15" thickBot="1">
      <c r="A932" s="64"/>
      <c r="I932" s="70"/>
    </row>
    <row r="933" spans="1:9" ht="15" thickBot="1">
      <c r="A933" s="64"/>
      <c r="I933" s="70"/>
    </row>
    <row r="934" spans="1:9" ht="15" thickBot="1">
      <c r="A934" s="64"/>
      <c r="I934" s="70"/>
    </row>
    <row r="935" spans="1:9" ht="15" thickBot="1">
      <c r="A935" s="64"/>
      <c r="I935" s="70"/>
    </row>
    <row r="936" spans="1:9" ht="15" thickBot="1">
      <c r="A936" s="64"/>
      <c r="I936" s="70"/>
    </row>
    <row r="937" spans="1:9" ht="15" thickBot="1">
      <c r="A937" s="64"/>
      <c r="I937" s="70"/>
    </row>
    <row r="938" spans="1:9" ht="15" thickBot="1">
      <c r="A938" s="64"/>
      <c r="I938" s="70"/>
    </row>
    <row r="939" spans="1:9" ht="15" thickBot="1">
      <c r="A939" s="64"/>
      <c r="I939" s="70"/>
    </row>
    <row r="940" spans="1:9" ht="15" thickBot="1">
      <c r="A940" s="64"/>
      <c r="I940" s="70"/>
    </row>
    <row r="941" spans="1:9" ht="15" thickBot="1">
      <c r="A941" s="64"/>
      <c r="I941" s="70"/>
    </row>
    <row r="942" spans="1:9" ht="15" thickBot="1">
      <c r="A942" s="64"/>
      <c r="I942" s="70"/>
    </row>
    <row r="943" spans="1:9" ht="15" thickBot="1">
      <c r="A943" s="64"/>
      <c r="I943" s="70"/>
    </row>
    <row r="944" spans="1:9" ht="15" thickBot="1">
      <c r="A944" s="64"/>
      <c r="I944" s="70"/>
    </row>
    <row r="945" spans="1:9" ht="15" thickBot="1">
      <c r="A945" s="64"/>
      <c r="I945" s="70"/>
    </row>
    <row r="946" spans="1:9" ht="15" thickBot="1">
      <c r="A946" s="64"/>
      <c r="I946" s="70"/>
    </row>
    <row r="947" spans="1:9" ht="15" thickBot="1">
      <c r="A947" s="64"/>
      <c r="I947" s="70"/>
    </row>
    <row r="948" spans="1:9" ht="15" thickBot="1">
      <c r="A948" s="64"/>
      <c r="I948" s="70"/>
    </row>
    <row r="949" spans="1:9" ht="15" thickBot="1">
      <c r="A949" s="64"/>
      <c r="I949" s="70"/>
    </row>
    <row r="950" spans="1:9" ht="15" thickBot="1">
      <c r="A950" s="64"/>
      <c r="I950" s="70"/>
    </row>
    <row r="951" spans="1:9" ht="15" thickBot="1">
      <c r="A951" s="64"/>
      <c r="I951" s="70"/>
    </row>
    <row r="952" spans="1:9" ht="15" thickBot="1">
      <c r="A952" s="64"/>
      <c r="I952" s="70"/>
    </row>
    <row r="953" spans="1:9" ht="15" thickBot="1">
      <c r="A953" s="64"/>
      <c r="I953" s="70"/>
    </row>
    <row r="954" spans="1:9" ht="15" thickBot="1">
      <c r="A954" s="64"/>
      <c r="I954" s="70"/>
    </row>
    <row r="955" spans="1:9" ht="15" thickBot="1">
      <c r="A955" s="64"/>
      <c r="I955" s="70"/>
    </row>
    <row r="956" spans="1:9" ht="15" thickBot="1">
      <c r="A956" s="64"/>
      <c r="I956" s="70"/>
    </row>
    <row r="957" spans="1:9" ht="15" thickBot="1">
      <c r="A957" s="64"/>
      <c r="I957" s="70"/>
    </row>
    <row r="958" spans="1:9" ht="15" thickBot="1">
      <c r="A958" s="64"/>
      <c r="I958" s="70"/>
    </row>
    <row r="959" spans="1:9" ht="15" thickBot="1">
      <c r="A959" s="64"/>
      <c r="I959" s="70"/>
    </row>
    <row r="960" spans="1:9" ht="15" thickBot="1">
      <c r="A960" s="64"/>
      <c r="I960" s="70"/>
    </row>
    <row r="961" spans="1:9" ht="15" thickBot="1">
      <c r="A961" s="64"/>
      <c r="I961" s="70"/>
    </row>
    <row r="962" spans="1:9" ht="15" thickBot="1">
      <c r="A962" s="64"/>
      <c r="I962" s="70"/>
    </row>
    <row r="963" spans="1:9" ht="15" thickBot="1">
      <c r="A963" s="64"/>
      <c r="I963" s="70"/>
    </row>
    <row r="964" spans="1:9" ht="15" thickBot="1">
      <c r="A964" s="64"/>
      <c r="I964" s="70"/>
    </row>
    <row r="965" spans="1:9" ht="15" thickBot="1">
      <c r="A965" s="64"/>
      <c r="I965" s="70"/>
    </row>
    <row r="966" spans="1:9" ht="15" thickBot="1">
      <c r="A966" s="64"/>
      <c r="I966" s="70"/>
    </row>
    <row r="967" spans="1:9" ht="15" thickBot="1">
      <c r="A967" s="64"/>
      <c r="I967" s="70"/>
    </row>
    <row r="968" spans="1:9" ht="15" thickBot="1">
      <c r="A968" s="64"/>
      <c r="I968" s="70"/>
    </row>
    <row r="969" spans="1:9" ht="15" thickBot="1">
      <c r="A969" s="64"/>
      <c r="I969" s="70"/>
    </row>
    <row r="970" spans="1:9" ht="15" thickBot="1">
      <c r="A970" s="64"/>
      <c r="I970" s="70"/>
    </row>
    <row r="971" spans="1:9" ht="15" thickBot="1">
      <c r="A971" s="64"/>
      <c r="I971" s="70"/>
    </row>
    <row r="972" spans="1:9" ht="15" thickBot="1">
      <c r="A972" s="64"/>
      <c r="I972" s="70"/>
    </row>
    <row r="973" spans="1:9" ht="15" thickBot="1">
      <c r="A973" s="64"/>
      <c r="I973" s="70"/>
    </row>
    <row r="974" spans="1:9" ht="15" thickBot="1">
      <c r="A974" s="64"/>
      <c r="I974" s="70"/>
    </row>
    <row r="975" spans="1:9" ht="15" thickBot="1">
      <c r="A975" s="64"/>
      <c r="I975" s="70"/>
    </row>
    <row r="976" spans="1:9" ht="15" thickBot="1">
      <c r="A976" s="64"/>
      <c r="I976" s="70"/>
    </row>
    <row r="977" spans="1:9" ht="15" thickBot="1">
      <c r="A977" s="64"/>
      <c r="I977" s="70"/>
    </row>
    <row r="978" spans="1:9" ht="15" thickBot="1">
      <c r="A978" s="64"/>
      <c r="I978" s="70"/>
    </row>
    <row r="979" spans="1:9" ht="15" thickBot="1">
      <c r="A979" s="64"/>
      <c r="I979" s="70"/>
    </row>
    <row r="980" spans="1:9" ht="15" thickBot="1">
      <c r="A980" s="64"/>
      <c r="I980" s="70"/>
    </row>
    <row r="981" spans="1:9" ht="15" thickBot="1">
      <c r="A981" s="64"/>
      <c r="I981" s="70"/>
    </row>
    <row r="982" spans="1:9" ht="15" thickBot="1">
      <c r="A982" s="64"/>
      <c r="I982" s="70"/>
    </row>
    <row r="983" spans="1:9" ht="15" thickBot="1">
      <c r="A983" s="64"/>
      <c r="I983" s="70"/>
    </row>
    <row r="984" spans="1:9" ht="15" thickBot="1">
      <c r="A984" s="64"/>
      <c r="I984" s="70"/>
    </row>
    <row r="985" spans="1:9" ht="15" thickBot="1">
      <c r="A985" s="64"/>
      <c r="I985" s="70"/>
    </row>
    <row r="986" spans="1:9" ht="15" thickBot="1">
      <c r="A986" s="64"/>
      <c r="I986" s="70"/>
    </row>
    <row r="987" spans="1:9" ht="15" thickBot="1">
      <c r="A987" s="64"/>
      <c r="I987" s="70"/>
    </row>
    <row r="988" spans="1:9" ht="15" thickBot="1">
      <c r="A988" s="64"/>
      <c r="I988" s="70"/>
    </row>
    <row r="989" spans="1:9" ht="15" thickBot="1">
      <c r="A989" s="64"/>
      <c r="I989" s="70"/>
    </row>
    <row r="990" spans="1:9" ht="15" thickBot="1">
      <c r="A990" s="64"/>
      <c r="I990" s="70"/>
    </row>
    <row r="991" spans="1:9" ht="15" thickBot="1">
      <c r="A991" s="64"/>
      <c r="I991" s="70"/>
    </row>
    <row r="992" spans="1:9" ht="15" thickBot="1">
      <c r="A992" s="64"/>
      <c r="I992" s="70"/>
    </row>
    <row r="993" spans="1:9" ht="15" thickBot="1">
      <c r="A993" s="64"/>
      <c r="I993" s="70"/>
    </row>
    <row r="994" spans="1:9" ht="15" thickBot="1">
      <c r="A994" s="64"/>
      <c r="I994" s="70"/>
    </row>
    <row r="995" spans="1:9" ht="15" thickBot="1">
      <c r="A995" s="64"/>
      <c r="I995" s="70"/>
    </row>
    <row r="996" spans="1:9" ht="15" thickBot="1">
      <c r="A996" s="64"/>
      <c r="I996" s="70"/>
    </row>
    <row r="997" spans="1:9" ht="15" thickBot="1">
      <c r="A997" s="64"/>
      <c r="I997" s="70"/>
    </row>
    <row r="998" spans="1:9" ht="15" thickBot="1">
      <c r="A998" s="64"/>
      <c r="I998" s="70"/>
    </row>
    <row r="999" spans="1:9" ht="15" thickBot="1">
      <c r="A999" s="64"/>
      <c r="I999" s="70"/>
    </row>
    <row r="1000" spans="1:9" ht="15" thickBot="1">
      <c r="A1000" s="64"/>
      <c r="I1000" s="70"/>
    </row>
  </sheetData>
  <mergeCells count="8">
    <mergeCell ref="C8:D9"/>
    <mergeCell ref="F8:G9"/>
    <mergeCell ref="Q4:T7"/>
    <mergeCell ref="F10:G11"/>
    <mergeCell ref="C10:D10"/>
    <mergeCell ref="O4:O5"/>
    <mergeCell ref="R8:T10"/>
    <mergeCell ref="Q8:Q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580E-7B94-4286-8525-4DD37E3C1F25}">
  <dimension ref="A1:AF202"/>
  <sheetViews>
    <sheetView topLeftCell="V1" workbookViewId="0">
      <selection activeCell="J2" sqref="J2:J5"/>
    </sheetView>
  </sheetViews>
  <sheetFormatPr defaultRowHeight="14.4"/>
  <cols>
    <col min="1" max="1" width="12.44140625" style="126" customWidth="1"/>
    <col min="2" max="2" width="8.88671875" style="132"/>
    <col min="3" max="3" width="15.6640625" style="150" bestFit="1" customWidth="1"/>
    <col min="4" max="4" width="25.6640625" style="150" bestFit="1" customWidth="1"/>
    <col min="5" max="5" width="24.88671875" style="132" customWidth="1"/>
    <col min="6" max="6" width="35.109375" style="132" customWidth="1"/>
    <col min="7" max="7" width="10.109375" style="132" customWidth="1"/>
    <col min="8" max="8" width="15" style="132" bestFit="1" customWidth="1"/>
    <col min="9" max="9" width="15.77734375" style="132" bestFit="1" customWidth="1"/>
    <col min="10" max="10" width="15.109375" style="132" customWidth="1"/>
    <col min="11" max="11" width="19.33203125" style="132" customWidth="1"/>
    <col min="12" max="20" width="8.88671875" style="132"/>
    <col min="21" max="21" width="12.77734375" style="132" bestFit="1" customWidth="1"/>
    <col min="22" max="22" width="21.77734375" style="132" bestFit="1" customWidth="1"/>
    <col min="23" max="23" width="8.77734375" style="132" bestFit="1" customWidth="1"/>
    <col min="24" max="32" width="16.21875" style="132" customWidth="1"/>
    <col min="33" max="16384" width="8.88671875" style="132"/>
  </cols>
  <sheetData>
    <row r="1" spans="1:32" s="133" customFormat="1" ht="28.8">
      <c r="A1" s="148" t="s">
        <v>336</v>
      </c>
      <c r="B1" s="36" t="s">
        <v>442</v>
      </c>
      <c r="C1" s="149" t="s">
        <v>448</v>
      </c>
      <c r="D1" s="150" t="s">
        <v>452</v>
      </c>
      <c r="E1" s="146" t="s">
        <v>451</v>
      </c>
      <c r="F1" s="143" t="s">
        <v>445</v>
      </c>
      <c r="G1" s="146"/>
      <c r="H1" s="164" t="s">
        <v>476</v>
      </c>
      <c r="I1" s="132" t="s">
        <v>475</v>
      </c>
      <c r="J1" s="150" t="s">
        <v>449</v>
      </c>
      <c r="K1" s="150" t="s">
        <v>450</v>
      </c>
      <c r="U1" s="164" t="s">
        <v>456</v>
      </c>
      <c r="V1" s="132" t="s">
        <v>455</v>
      </c>
      <c r="W1" s="132" t="s">
        <v>454</v>
      </c>
      <c r="X1" s="132"/>
      <c r="Y1" s="132"/>
      <c r="Z1" s="132"/>
      <c r="AA1" s="132"/>
      <c r="AB1" s="132"/>
      <c r="AC1" s="132"/>
      <c r="AD1" s="132"/>
      <c r="AE1" s="132"/>
      <c r="AF1" s="132"/>
    </row>
    <row r="2" spans="1:32">
      <c r="A2" s="151">
        <v>23125</v>
      </c>
      <c r="B2" s="126">
        <f>'Engagement Summary'!C2-'Engagement Summary'!D2</f>
        <v>1334</v>
      </c>
      <c r="C2" s="147">
        <v>45446</v>
      </c>
      <c r="D2" s="150">
        <v>3419</v>
      </c>
      <c r="E2" s="57">
        <f>MAX(D2:D68)</f>
        <v>3576</v>
      </c>
      <c r="F2" s="136">
        <f>INDEX(C2:C68, MATCH(MAX(D2:D68), D2:D68, 0))</f>
        <v>45600</v>
      </c>
      <c r="G2" s="136"/>
      <c r="H2" s="165">
        <v>45446</v>
      </c>
      <c r="I2" s="126">
        <v>3419</v>
      </c>
      <c r="J2" s="147">
        <v>45444</v>
      </c>
      <c r="K2" s="161">
        <f>AVERAGE(I2:I5)</f>
        <v>2951</v>
      </c>
      <c r="U2" s="136">
        <v>45446</v>
      </c>
      <c r="V2" s="132">
        <v>3419</v>
      </c>
      <c r="W2" s="132">
        <v>53723</v>
      </c>
    </row>
    <row r="3" spans="1:32">
      <c r="A3" s="151">
        <v>22788</v>
      </c>
      <c r="B3" s="126">
        <f>'Engagement Summary'!C3-'Engagement Summary'!D3</f>
        <v>909</v>
      </c>
      <c r="C3" s="147">
        <v>45453</v>
      </c>
      <c r="D3" s="150">
        <v>2777</v>
      </c>
      <c r="E3" s="237" t="s">
        <v>473</v>
      </c>
      <c r="F3" s="237" t="s">
        <v>474</v>
      </c>
      <c r="H3" s="165">
        <v>45453</v>
      </c>
      <c r="I3" s="126">
        <v>2777</v>
      </c>
      <c r="J3" s="147">
        <v>45474</v>
      </c>
      <c r="K3" s="161">
        <f>AVERAGE(I6:I10)</f>
        <v>2472.6</v>
      </c>
      <c r="U3" s="136">
        <v>45453</v>
      </c>
      <c r="V3" s="132">
        <v>2777</v>
      </c>
      <c r="W3" s="132">
        <v>60293</v>
      </c>
    </row>
    <row r="4" spans="1:32">
      <c r="A4" s="151">
        <v>7810</v>
      </c>
      <c r="B4" s="126">
        <f>'Engagement Summary'!C4-'Engagement Summary'!D4</f>
        <v>1176</v>
      </c>
      <c r="C4" s="147">
        <v>45460</v>
      </c>
      <c r="D4" s="150">
        <v>3175</v>
      </c>
      <c r="E4" s="237"/>
      <c r="F4" s="237"/>
      <c r="H4" s="165">
        <v>45460</v>
      </c>
      <c r="I4" s="126">
        <v>3175</v>
      </c>
      <c r="J4" s="147">
        <v>45505</v>
      </c>
      <c r="K4" s="161">
        <f>AVERAGE(I11:I14)</f>
        <v>2628.75</v>
      </c>
      <c r="U4" s="136">
        <v>45460</v>
      </c>
      <c r="V4" s="132">
        <v>3175</v>
      </c>
      <c r="W4" s="132">
        <v>51908</v>
      </c>
    </row>
    <row r="5" spans="1:32">
      <c r="A5" s="151">
        <v>11966</v>
      </c>
      <c r="B5" s="126">
        <f>'Engagement Summary'!C5-'Engagement Summary'!D5</f>
        <v>928</v>
      </c>
      <c r="C5" s="147">
        <v>45467</v>
      </c>
      <c r="D5" s="150">
        <v>2433</v>
      </c>
      <c r="H5" s="165">
        <v>45467</v>
      </c>
      <c r="I5" s="126">
        <v>2433</v>
      </c>
      <c r="J5" s="147">
        <v>45536</v>
      </c>
      <c r="K5" s="161">
        <f>AVERAGE(I15:I19)</f>
        <v>2646</v>
      </c>
      <c r="U5" s="136">
        <v>45467</v>
      </c>
      <c r="V5" s="132">
        <v>2433</v>
      </c>
      <c r="W5" s="132">
        <v>57474</v>
      </c>
    </row>
    <row r="6" spans="1:32">
      <c r="A6" s="151">
        <v>26298</v>
      </c>
      <c r="B6" s="126">
        <f>'Engagement Summary'!C6-'Engagement Summary'!D6</f>
        <v>1397</v>
      </c>
      <c r="C6" s="147">
        <v>45474</v>
      </c>
      <c r="D6" s="150">
        <v>2426</v>
      </c>
      <c r="H6" s="165">
        <v>45474</v>
      </c>
      <c r="I6" s="126">
        <v>2426</v>
      </c>
      <c r="J6" s="147">
        <v>45566</v>
      </c>
      <c r="K6" s="161">
        <f>AVERAGE(I20:I23)</f>
        <v>2495.25</v>
      </c>
      <c r="U6" s="136">
        <v>45474</v>
      </c>
      <c r="V6" s="132">
        <v>2426</v>
      </c>
      <c r="W6" s="132">
        <v>52712</v>
      </c>
    </row>
    <row r="7" spans="1:32">
      <c r="A7" s="151">
        <v>22029</v>
      </c>
      <c r="B7" s="126">
        <f>'Engagement Summary'!C7-'Engagement Summary'!D7</f>
        <v>452</v>
      </c>
      <c r="C7" s="147">
        <v>45481</v>
      </c>
      <c r="D7" s="150">
        <v>3155</v>
      </c>
      <c r="E7" s="225" t="s">
        <v>457</v>
      </c>
      <c r="F7" s="225"/>
      <c r="H7" s="165">
        <v>45481</v>
      </c>
      <c r="I7" s="126">
        <v>3155</v>
      </c>
      <c r="J7" s="147">
        <v>45597</v>
      </c>
      <c r="K7" s="161">
        <f>AVERAGE(I24:I27)</f>
        <v>2648</v>
      </c>
      <c r="U7" s="136">
        <v>45481</v>
      </c>
      <c r="V7" s="132">
        <v>3155</v>
      </c>
      <c r="W7" s="132">
        <v>42020</v>
      </c>
    </row>
    <row r="8" spans="1:32">
      <c r="A8" s="151">
        <v>12391</v>
      </c>
      <c r="B8" s="126">
        <f>'Engagement Summary'!C8-'Engagement Summary'!D8</f>
        <v>590</v>
      </c>
      <c r="C8" s="147">
        <v>45488</v>
      </c>
      <c r="D8" s="150">
        <v>2369</v>
      </c>
      <c r="E8" s="225"/>
      <c r="F8" s="225"/>
      <c r="H8" s="165">
        <v>45488</v>
      </c>
      <c r="I8" s="126">
        <v>2369</v>
      </c>
      <c r="J8" s="147">
        <v>45627</v>
      </c>
      <c r="K8" s="161">
        <f>AVERAGE(I28:I32)</f>
        <v>2272.1999999999998</v>
      </c>
      <c r="U8" s="136">
        <v>45488</v>
      </c>
      <c r="V8" s="132">
        <v>2369</v>
      </c>
      <c r="W8" s="132">
        <v>48627</v>
      </c>
    </row>
    <row r="9" spans="1:32">
      <c r="A9" s="151">
        <v>14477</v>
      </c>
      <c r="B9" s="126">
        <f>'Engagement Summary'!C9-'Engagement Summary'!D9</f>
        <v>1283</v>
      </c>
      <c r="C9" s="147">
        <v>45495</v>
      </c>
      <c r="D9" s="150">
        <v>2281</v>
      </c>
      <c r="E9" s="225"/>
      <c r="F9" s="225"/>
      <c r="H9" s="165">
        <v>45495</v>
      </c>
      <c r="I9" s="126">
        <v>2281</v>
      </c>
      <c r="J9" s="147">
        <v>45658</v>
      </c>
      <c r="K9" s="161">
        <f>AVERAGE(I33:I36)</f>
        <v>2138</v>
      </c>
      <c r="U9" s="136">
        <v>45495</v>
      </c>
      <c r="V9" s="132">
        <v>2281</v>
      </c>
      <c r="W9" s="132">
        <v>48009</v>
      </c>
    </row>
    <row r="10" spans="1:32">
      <c r="A10" s="151">
        <v>25040</v>
      </c>
      <c r="B10" s="126">
        <f>'Engagement Summary'!C10-'Engagement Summary'!D10</f>
        <v>1302</v>
      </c>
      <c r="C10" s="147">
        <v>45502</v>
      </c>
      <c r="D10" s="150">
        <v>2132</v>
      </c>
      <c r="H10" s="165">
        <v>45502</v>
      </c>
      <c r="I10" s="126">
        <v>2132</v>
      </c>
      <c r="J10" s="147">
        <v>45689</v>
      </c>
      <c r="K10" s="161">
        <f>AVERAGE(I37:I40)</f>
        <v>1824.25</v>
      </c>
      <c r="U10" s="136">
        <v>45502</v>
      </c>
      <c r="V10" s="132">
        <v>2132</v>
      </c>
      <c r="W10" s="132">
        <v>34912</v>
      </c>
    </row>
    <row r="11" spans="1:32">
      <c r="A11" s="151">
        <v>22619</v>
      </c>
      <c r="B11" s="126">
        <f>'Engagement Summary'!C11-'Engagement Summary'!D11</f>
        <v>612</v>
      </c>
      <c r="C11" s="147">
        <v>45509</v>
      </c>
      <c r="D11" s="150">
        <v>2693</v>
      </c>
      <c r="H11" s="165">
        <v>45509</v>
      </c>
      <c r="I11" s="126">
        <v>2693</v>
      </c>
      <c r="J11" s="147">
        <v>45717</v>
      </c>
      <c r="K11" s="161">
        <f>AVERAGE(I41:I45)</f>
        <v>2545.1999999999998</v>
      </c>
      <c r="U11" s="136">
        <v>45509</v>
      </c>
      <c r="V11" s="132">
        <v>2693</v>
      </c>
      <c r="W11" s="132">
        <v>45349</v>
      </c>
    </row>
    <row r="12" spans="1:32">
      <c r="A12" s="151">
        <v>12399</v>
      </c>
      <c r="B12" s="126">
        <f>'Engagement Summary'!C12-'Engagement Summary'!D12</f>
        <v>1121</v>
      </c>
      <c r="C12" s="147">
        <v>45516</v>
      </c>
      <c r="D12" s="150">
        <v>3072</v>
      </c>
      <c r="H12" s="165">
        <v>45516</v>
      </c>
      <c r="I12" s="126">
        <v>3072</v>
      </c>
      <c r="J12" s="147">
        <v>45748</v>
      </c>
      <c r="K12" s="161">
        <f>AVERAGE(I46:I49)</f>
        <v>2653.25</v>
      </c>
      <c r="U12" s="136">
        <v>45516</v>
      </c>
      <c r="V12" s="132">
        <v>3072</v>
      </c>
      <c r="W12" s="132">
        <v>24209</v>
      </c>
    </row>
    <row r="13" spans="1:32">
      <c r="A13" s="151">
        <v>22456</v>
      </c>
      <c r="B13" s="126">
        <f>'Engagement Summary'!C13-'Engagement Summary'!D13</f>
        <v>700</v>
      </c>
      <c r="C13" s="147">
        <v>45523</v>
      </c>
      <c r="D13" s="150">
        <v>2300</v>
      </c>
      <c r="H13" s="165">
        <v>45523</v>
      </c>
      <c r="I13" s="126">
        <v>2300</v>
      </c>
      <c r="J13" s="147">
        <v>45778</v>
      </c>
      <c r="K13" s="161">
        <f>AVERAGE(I50:I53)</f>
        <v>2483</v>
      </c>
      <c r="U13" s="136">
        <v>45523</v>
      </c>
      <c r="V13" s="132">
        <v>2300</v>
      </c>
      <c r="W13" s="132">
        <v>52127</v>
      </c>
    </row>
    <row r="14" spans="1:32">
      <c r="A14" s="151">
        <v>19328</v>
      </c>
      <c r="B14" s="126">
        <f>'Engagement Summary'!C14-'Engagement Summary'!D14</f>
        <v>714</v>
      </c>
      <c r="C14" s="147">
        <v>45530</v>
      </c>
      <c r="D14" s="150">
        <v>2450</v>
      </c>
      <c r="H14" s="165">
        <v>45530</v>
      </c>
      <c r="I14" s="126">
        <v>2450</v>
      </c>
      <c r="J14" s="147">
        <v>45809</v>
      </c>
      <c r="K14" s="161">
        <f>AVERAGE(I54:I58)</f>
        <v>2001.6</v>
      </c>
      <c r="U14" s="136">
        <v>45530</v>
      </c>
      <c r="V14" s="132">
        <v>2450</v>
      </c>
      <c r="W14" s="132">
        <v>66319</v>
      </c>
    </row>
    <row r="15" spans="1:32">
      <c r="A15" s="151">
        <v>21107</v>
      </c>
      <c r="B15" s="126">
        <f>'Engagement Summary'!C15-'Engagement Summary'!D15</f>
        <v>595</v>
      </c>
      <c r="C15" s="147">
        <v>45537</v>
      </c>
      <c r="D15" s="150">
        <v>2502</v>
      </c>
      <c r="H15" s="165">
        <v>45537</v>
      </c>
      <c r="I15" s="126">
        <v>2502</v>
      </c>
      <c r="J15" s="147">
        <v>45839</v>
      </c>
      <c r="K15" s="161">
        <f>AVERAGE(I59:I62)</f>
        <v>2813.25</v>
      </c>
      <c r="U15" s="136">
        <v>45537</v>
      </c>
      <c r="V15" s="132">
        <v>2502</v>
      </c>
      <c r="W15" s="132">
        <v>55150</v>
      </c>
    </row>
    <row r="16" spans="1:32">
      <c r="A16" s="151">
        <v>12277</v>
      </c>
      <c r="B16" s="126">
        <f>'Engagement Summary'!C16-'Engagement Summary'!D16</f>
        <v>1117</v>
      </c>
      <c r="C16" s="147">
        <v>45544</v>
      </c>
      <c r="D16" s="150">
        <v>2630</v>
      </c>
      <c r="H16" s="165">
        <v>45544</v>
      </c>
      <c r="I16" s="126">
        <v>2630</v>
      </c>
      <c r="J16" s="147">
        <v>45870</v>
      </c>
      <c r="K16" s="161">
        <f>AVERAGE(I63:I66)</f>
        <v>2125.25</v>
      </c>
      <c r="U16" s="136">
        <v>45544</v>
      </c>
      <c r="V16" s="132">
        <v>2630</v>
      </c>
      <c r="W16" s="132">
        <v>44141</v>
      </c>
    </row>
    <row r="17" spans="1:30">
      <c r="A17" s="151">
        <v>11684</v>
      </c>
      <c r="B17" s="126">
        <f>'Engagement Summary'!C17-'Engagement Summary'!D17</f>
        <v>667</v>
      </c>
      <c r="C17" s="147">
        <v>45551</v>
      </c>
      <c r="D17" s="150">
        <v>2162</v>
      </c>
      <c r="H17" s="165">
        <v>45551</v>
      </c>
      <c r="I17" s="126">
        <v>2162</v>
      </c>
      <c r="J17" s="147">
        <v>45901</v>
      </c>
      <c r="K17" s="161">
        <f>AVERAGE(I67:I68)</f>
        <v>1430</v>
      </c>
      <c r="U17" s="136">
        <v>45551</v>
      </c>
      <c r="V17" s="132">
        <v>2162</v>
      </c>
      <c r="W17" s="132">
        <v>51007</v>
      </c>
    </row>
    <row r="18" spans="1:30">
      <c r="A18" s="151">
        <v>14412</v>
      </c>
      <c r="B18" s="126">
        <f>'Engagement Summary'!C18-'Engagement Summary'!D18</f>
        <v>1371</v>
      </c>
      <c r="C18" s="147">
        <v>45558</v>
      </c>
      <c r="D18" s="150">
        <v>2785</v>
      </c>
      <c r="H18" s="165">
        <v>45558</v>
      </c>
      <c r="I18" s="126">
        <v>2785</v>
      </c>
      <c r="J18" s="236" t="s">
        <v>477</v>
      </c>
      <c r="K18" s="236"/>
      <c r="U18" s="136">
        <v>45558</v>
      </c>
      <c r="V18" s="132">
        <v>2785</v>
      </c>
      <c r="W18" s="132">
        <v>61088</v>
      </c>
    </row>
    <row r="19" spans="1:30">
      <c r="A19" s="151">
        <v>15924</v>
      </c>
      <c r="B19" s="126">
        <f>'Engagement Summary'!C19-'Engagement Summary'!D19</f>
        <v>1117</v>
      </c>
      <c r="C19" s="147">
        <v>45565</v>
      </c>
      <c r="D19" s="150">
        <v>3151</v>
      </c>
      <c r="H19" s="165">
        <v>45565</v>
      </c>
      <c r="I19" s="126">
        <v>3151</v>
      </c>
      <c r="J19" s="236"/>
      <c r="K19" s="236"/>
      <c r="M19" s="225" t="s">
        <v>458</v>
      </c>
      <c r="N19" s="225"/>
      <c r="O19" s="225"/>
      <c r="P19" s="225"/>
      <c r="Q19" s="225"/>
      <c r="R19" s="225"/>
      <c r="U19" s="136">
        <v>45565</v>
      </c>
      <c r="V19" s="132">
        <v>3151</v>
      </c>
      <c r="W19" s="132">
        <v>47808</v>
      </c>
    </row>
    <row r="20" spans="1:30">
      <c r="A20" s="151">
        <v>12390</v>
      </c>
      <c r="B20" s="126">
        <f>'Engagement Summary'!C20-'Engagement Summary'!D20</f>
        <v>359</v>
      </c>
      <c r="C20" s="147">
        <v>45572</v>
      </c>
      <c r="D20" s="150">
        <v>2338</v>
      </c>
      <c r="H20" s="165">
        <v>45572</v>
      </c>
      <c r="I20" s="126">
        <v>2338</v>
      </c>
      <c r="J20" s="236"/>
      <c r="K20" s="236"/>
      <c r="M20" s="225"/>
      <c r="N20" s="225"/>
      <c r="O20" s="225"/>
      <c r="P20" s="225"/>
      <c r="Q20" s="225"/>
      <c r="R20" s="225"/>
      <c r="U20" s="136">
        <v>45572</v>
      </c>
      <c r="V20" s="132">
        <v>2338</v>
      </c>
      <c r="W20" s="132">
        <v>40791</v>
      </c>
    </row>
    <row r="21" spans="1:30">
      <c r="A21" s="151">
        <v>25742</v>
      </c>
      <c r="B21" s="126">
        <f>'Engagement Summary'!C21-'Engagement Summary'!D21</f>
        <v>1098</v>
      </c>
      <c r="C21" s="147">
        <v>45579</v>
      </c>
      <c r="D21" s="150">
        <v>2670</v>
      </c>
      <c r="H21" s="165">
        <v>45579</v>
      </c>
      <c r="I21" s="126">
        <v>2670</v>
      </c>
      <c r="J21" s="126"/>
      <c r="M21" s="225"/>
      <c r="N21" s="225"/>
      <c r="O21" s="225"/>
      <c r="P21" s="225"/>
      <c r="Q21" s="225"/>
      <c r="R21" s="225"/>
      <c r="U21" s="136">
        <v>45579</v>
      </c>
      <c r="V21" s="132">
        <v>2670</v>
      </c>
      <c r="W21" s="132">
        <v>42137</v>
      </c>
    </row>
    <row r="22" spans="1:30">
      <c r="A22" s="151">
        <v>10495</v>
      </c>
      <c r="B22" s="126">
        <f>'Engagement Summary'!C22-'Engagement Summary'!D22</f>
        <v>912</v>
      </c>
      <c r="C22" s="147">
        <v>45586</v>
      </c>
      <c r="D22" s="150">
        <v>2792</v>
      </c>
      <c r="H22" s="165">
        <v>45586</v>
      </c>
      <c r="I22" s="126">
        <v>2792</v>
      </c>
      <c r="J22" s="126"/>
      <c r="U22" s="136">
        <v>45586</v>
      </c>
      <c r="V22" s="132">
        <v>2792</v>
      </c>
      <c r="W22" s="132">
        <v>52390</v>
      </c>
    </row>
    <row r="23" spans="1:30">
      <c r="A23" s="151">
        <v>7797</v>
      </c>
      <c r="B23" s="126">
        <f>'Engagement Summary'!C23-'Engagement Summary'!D23</f>
        <v>792</v>
      </c>
      <c r="C23" s="147">
        <v>45593</v>
      </c>
      <c r="D23" s="150">
        <v>2181</v>
      </c>
      <c r="H23" s="165">
        <v>45593</v>
      </c>
      <c r="I23" s="126">
        <v>2181</v>
      </c>
      <c r="J23" s="126"/>
      <c r="U23" s="136">
        <v>45593</v>
      </c>
      <c r="V23" s="132">
        <v>2181</v>
      </c>
      <c r="W23" s="132">
        <v>75610</v>
      </c>
    </row>
    <row r="24" spans="1:30">
      <c r="A24" s="151">
        <v>15595</v>
      </c>
      <c r="B24" s="126">
        <f>'Engagement Summary'!C24-'Engagement Summary'!D24</f>
        <v>364</v>
      </c>
      <c r="C24" s="147">
        <v>45600</v>
      </c>
      <c r="D24" s="150">
        <v>3576</v>
      </c>
      <c r="H24" s="165">
        <v>45600</v>
      </c>
      <c r="I24" s="126">
        <v>3576</v>
      </c>
      <c r="J24" s="126"/>
      <c r="U24" s="136">
        <v>45600</v>
      </c>
      <c r="V24" s="132">
        <v>3576</v>
      </c>
      <c r="W24" s="132">
        <v>51694</v>
      </c>
    </row>
    <row r="25" spans="1:30">
      <c r="A25" s="151">
        <v>24617</v>
      </c>
      <c r="B25" s="126">
        <f>'Engagement Summary'!C25-'Engagement Summary'!D25</f>
        <v>1125</v>
      </c>
      <c r="C25" s="147">
        <v>45607</v>
      </c>
      <c r="D25" s="150">
        <v>2794</v>
      </c>
      <c r="H25" s="165">
        <v>45607</v>
      </c>
      <c r="I25" s="126">
        <v>2794</v>
      </c>
      <c r="J25" s="126"/>
      <c r="U25" s="136">
        <v>45607</v>
      </c>
      <c r="V25" s="132">
        <v>2794</v>
      </c>
      <c r="W25" s="132">
        <v>51792</v>
      </c>
      <c r="Y25" s="225" t="s">
        <v>453</v>
      </c>
      <c r="Z25" s="225"/>
      <c r="AA25" s="225"/>
      <c r="AB25" s="225"/>
      <c r="AC25" s="225"/>
      <c r="AD25" s="225"/>
    </row>
    <row r="26" spans="1:30">
      <c r="A26" s="151">
        <v>9847</v>
      </c>
      <c r="B26" s="126">
        <f>'Engagement Summary'!C26-'Engagement Summary'!D26</f>
        <v>869</v>
      </c>
      <c r="C26" s="147">
        <v>45614</v>
      </c>
      <c r="D26" s="150">
        <v>1935</v>
      </c>
      <c r="H26" s="165">
        <v>45614</v>
      </c>
      <c r="I26" s="126">
        <v>1935</v>
      </c>
      <c r="J26" s="126"/>
      <c r="U26" s="136">
        <v>45614</v>
      </c>
      <c r="V26" s="132">
        <v>1935</v>
      </c>
      <c r="W26" s="132">
        <v>40181</v>
      </c>
      <c r="Y26" s="225"/>
      <c r="Z26" s="225"/>
      <c r="AA26" s="225"/>
      <c r="AB26" s="225"/>
      <c r="AC26" s="225"/>
      <c r="AD26" s="225"/>
    </row>
    <row r="27" spans="1:30">
      <c r="A27" s="151">
        <v>13644</v>
      </c>
      <c r="B27" s="126">
        <f>'Engagement Summary'!C27-'Engagement Summary'!D27</f>
        <v>414</v>
      </c>
      <c r="C27" s="147">
        <v>45621</v>
      </c>
      <c r="D27" s="150">
        <v>2287</v>
      </c>
      <c r="H27" s="165">
        <v>45621</v>
      </c>
      <c r="I27" s="126">
        <v>2287</v>
      </c>
      <c r="J27" s="126"/>
      <c r="U27" s="136">
        <v>45621</v>
      </c>
      <c r="V27" s="132">
        <v>2287</v>
      </c>
      <c r="W27" s="132">
        <v>35823</v>
      </c>
      <c r="Y27" s="225"/>
      <c r="Z27" s="225"/>
      <c r="AA27" s="225"/>
      <c r="AB27" s="225"/>
      <c r="AC27" s="225"/>
      <c r="AD27" s="225"/>
    </row>
    <row r="28" spans="1:30">
      <c r="A28" s="151">
        <v>11421</v>
      </c>
      <c r="B28" s="126">
        <f>'Engagement Summary'!C28-'Engagement Summary'!D28</f>
        <v>849</v>
      </c>
      <c r="C28" s="147">
        <v>45628</v>
      </c>
      <c r="D28" s="150">
        <v>2383</v>
      </c>
      <c r="H28" s="165">
        <v>45628</v>
      </c>
      <c r="I28" s="126">
        <v>2383</v>
      </c>
      <c r="J28" s="126"/>
      <c r="U28" s="136">
        <v>45628</v>
      </c>
      <c r="V28" s="132">
        <v>2383</v>
      </c>
      <c r="W28" s="132">
        <v>45124</v>
      </c>
    </row>
    <row r="29" spans="1:30">
      <c r="A29" s="151">
        <v>15613</v>
      </c>
      <c r="B29" s="126">
        <f>'Engagement Summary'!C29-'Engagement Summary'!D29</f>
        <v>1353</v>
      </c>
      <c r="C29" s="147">
        <v>45635</v>
      </c>
      <c r="D29" s="150">
        <v>1398</v>
      </c>
      <c r="H29" s="165">
        <v>45635</v>
      </c>
      <c r="I29" s="126">
        <v>1398</v>
      </c>
      <c r="J29" s="126"/>
      <c r="U29" s="136">
        <v>45635</v>
      </c>
      <c r="V29" s="132">
        <v>1398</v>
      </c>
      <c r="W29" s="132">
        <v>59678</v>
      </c>
    </row>
    <row r="30" spans="1:30">
      <c r="A30" s="151">
        <v>23900</v>
      </c>
      <c r="B30" s="126">
        <f>'Engagement Summary'!C30-'Engagement Summary'!D30</f>
        <v>582</v>
      </c>
      <c r="C30" s="147">
        <v>45642</v>
      </c>
      <c r="D30" s="150">
        <v>2693</v>
      </c>
      <c r="H30" s="165">
        <v>45642</v>
      </c>
      <c r="I30" s="126">
        <v>2693</v>
      </c>
      <c r="J30" s="126"/>
      <c r="U30" s="136">
        <v>45642</v>
      </c>
      <c r="V30" s="132">
        <v>2693</v>
      </c>
      <c r="W30" s="132">
        <v>51493</v>
      </c>
    </row>
    <row r="31" spans="1:30">
      <c r="A31" s="151">
        <v>5836</v>
      </c>
      <c r="B31" s="126">
        <f>'Engagement Summary'!C31-'Engagement Summary'!D31</f>
        <v>758</v>
      </c>
      <c r="C31" s="147">
        <v>45649</v>
      </c>
      <c r="D31" s="150">
        <v>2550</v>
      </c>
      <c r="H31" s="165">
        <v>45649</v>
      </c>
      <c r="I31" s="126">
        <v>2550</v>
      </c>
      <c r="J31" s="126"/>
      <c r="U31" s="136">
        <v>45649</v>
      </c>
      <c r="V31" s="132">
        <v>2550</v>
      </c>
      <c r="W31" s="132">
        <v>42747</v>
      </c>
    </row>
    <row r="32" spans="1:30">
      <c r="A32" s="151">
        <v>5624</v>
      </c>
      <c r="B32" s="126">
        <f>'Engagement Summary'!C32-'Engagement Summary'!D32</f>
        <v>977</v>
      </c>
      <c r="C32" s="147">
        <v>45656</v>
      </c>
      <c r="D32" s="150">
        <v>2337</v>
      </c>
      <c r="H32" s="165">
        <v>45656</v>
      </c>
      <c r="I32" s="126">
        <v>2337</v>
      </c>
      <c r="J32" s="126"/>
      <c r="U32" s="136">
        <v>45656</v>
      </c>
      <c r="V32" s="132">
        <v>2337</v>
      </c>
      <c r="W32" s="132">
        <v>44785</v>
      </c>
    </row>
    <row r="33" spans="1:23">
      <c r="A33" s="151">
        <v>10311</v>
      </c>
      <c r="B33" s="126">
        <f>'Engagement Summary'!C33-'Engagement Summary'!D33</f>
        <v>1191</v>
      </c>
      <c r="C33" s="147">
        <v>45663</v>
      </c>
      <c r="D33" s="150">
        <v>2451</v>
      </c>
      <c r="H33" s="165">
        <v>45663</v>
      </c>
      <c r="I33" s="126">
        <v>2451</v>
      </c>
      <c r="J33" s="126"/>
      <c r="U33" s="136">
        <v>45663</v>
      </c>
      <c r="V33" s="132">
        <v>2451</v>
      </c>
      <c r="W33" s="132">
        <v>34533</v>
      </c>
    </row>
    <row r="34" spans="1:23">
      <c r="A34" s="151">
        <v>8274</v>
      </c>
      <c r="B34" s="126">
        <f>'Engagement Summary'!C34-'Engagement Summary'!D34</f>
        <v>904</v>
      </c>
      <c r="C34" s="147">
        <v>45670</v>
      </c>
      <c r="D34" s="150">
        <v>2341</v>
      </c>
      <c r="H34" s="165">
        <v>45670</v>
      </c>
      <c r="I34" s="126">
        <v>2341</v>
      </c>
      <c r="J34" s="126"/>
      <c r="U34" s="136">
        <v>45670</v>
      </c>
      <c r="V34" s="132">
        <v>2341</v>
      </c>
      <c r="W34" s="132">
        <v>27644</v>
      </c>
    </row>
    <row r="35" spans="1:23">
      <c r="A35" s="151">
        <v>6031</v>
      </c>
      <c r="B35" s="126">
        <f>'Engagement Summary'!C35-'Engagement Summary'!D35</f>
        <v>909</v>
      </c>
      <c r="C35" s="147">
        <v>45677</v>
      </c>
      <c r="D35" s="150">
        <v>1832</v>
      </c>
      <c r="H35" s="165">
        <v>45677</v>
      </c>
      <c r="I35" s="126">
        <v>1832</v>
      </c>
      <c r="J35" s="126"/>
      <c r="U35" s="136">
        <v>45677</v>
      </c>
      <c r="V35" s="132">
        <v>1832</v>
      </c>
      <c r="W35" s="132">
        <v>42348</v>
      </c>
    </row>
    <row r="36" spans="1:23">
      <c r="A36" s="151">
        <v>27829</v>
      </c>
      <c r="B36" s="126">
        <f>'Engagement Summary'!C36-'Engagement Summary'!D36</f>
        <v>382</v>
      </c>
      <c r="C36" s="147">
        <v>45684</v>
      </c>
      <c r="D36" s="150">
        <v>1928</v>
      </c>
      <c r="H36" s="165">
        <v>45684</v>
      </c>
      <c r="I36" s="126">
        <v>1928</v>
      </c>
      <c r="J36" s="126"/>
      <c r="U36" s="136">
        <v>45684</v>
      </c>
      <c r="V36" s="132">
        <v>1928</v>
      </c>
      <c r="W36" s="132">
        <v>37127</v>
      </c>
    </row>
    <row r="37" spans="1:23">
      <c r="A37" s="151">
        <v>18267</v>
      </c>
      <c r="B37" s="126">
        <f>'Engagement Summary'!C37-'Engagement Summary'!D37</f>
        <v>1009</v>
      </c>
      <c r="C37" s="147">
        <v>45691</v>
      </c>
      <c r="D37" s="150">
        <v>1680</v>
      </c>
      <c r="H37" s="165">
        <v>45691</v>
      </c>
      <c r="I37" s="126">
        <v>1680</v>
      </c>
      <c r="J37" s="126"/>
      <c r="U37" s="136">
        <v>45691</v>
      </c>
      <c r="V37" s="132">
        <v>1680</v>
      </c>
      <c r="W37" s="132">
        <v>56414</v>
      </c>
    </row>
    <row r="38" spans="1:23">
      <c r="A38" s="151">
        <v>26624</v>
      </c>
      <c r="B38" s="126">
        <f>'Engagement Summary'!C38-'Engagement Summary'!D38</f>
        <v>1022</v>
      </c>
      <c r="C38" s="147">
        <v>45698</v>
      </c>
      <c r="D38" s="150">
        <v>2361</v>
      </c>
      <c r="H38" s="165">
        <v>45698</v>
      </c>
      <c r="I38" s="126">
        <v>2361</v>
      </c>
      <c r="J38" s="126"/>
      <c r="U38" s="136">
        <v>45698</v>
      </c>
      <c r="V38" s="132">
        <v>2361</v>
      </c>
      <c r="W38" s="132">
        <v>37927</v>
      </c>
    </row>
    <row r="39" spans="1:23">
      <c r="A39" s="151">
        <v>26644</v>
      </c>
      <c r="B39" s="126">
        <f>'Engagement Summary'!C39-'Engagement Summary'!D39</f>
        <v>262</v>
      </c>
      <c r="C39" s="147">
        <v>45705</v>
      </c>
      <c r="D39" s="150">
        <v>1543</v>
      </c>
      <c r="H39" s="165">
        <v>45705</v>
      </c>
      <c r="I39" s="126">
        <v>1543</v>
      </c>
      <c r="J39" s="126"/>
      <c r="U39" s="136">
        <v>45705</v>
      </c>
      <c r="V39" s="132">
        <v>1543</v>
      </c>
      <c r="W39" s="132">
        <v>43741</v>
      </c>
    </row>
    <row r="40" spans="1:23">
      <c r="A40" s="151">
        <v>13051</v>
      </c>
      <c r="B40" s="126">
        <f>'Engagement Summary'!C40-'Engagement Summary'!D40</f>
        <v>1166</v>
      </c>
      <c r="C40" s="147">
        <v>45712</v>
      </c>
      <c r="D40" s="150">
        <v>1713</v>
      </c>
      <c r="H40" s="165">
        <v>45712</v>
      </c>
      <c r="I40" s="126">
        <v>1713</v>
      </c>
      <c r="J40" s="126"/>
      <c r="U40" s="136">
        <v>45712</v>
      </c>
      <c r="V40" s="132">
        <v>1713</v>
      </c>
      <c r="W40" s="132">
        <v>57395</v>
      </c>
    </row>
    <row r="41" spans="1:23">
      <c r="A41" s="151">
        <v>14217</v>
      </c>
      <c r="B41" s="126">
        <f>'Engagement Summary'!C41-'Engagement Summary'!D41</f>
        <v>515</v>
      </c>
      <c r="C41" s="147">
        <v>45719</v>
      </c>
      <c r="D41" s="150">
        <v>2763</v>
      </c>
      <c r="H41" s="165">
        <v>45719</v>
      </c>
      <c r="I41" s="126">
        <v>2763</v>
      </c>
      <c r="J41" s="126"/>
      <c r="U41" s="136">
        <v>45719</v>
      </c>
      <c r="V41" s="132">
        <v>2763</v>
      </c>
      <c r="W41" s="132">
        <v>54434</v>
      </c>
    </row>
    <row r="42" spans="1:23">
      <c r="A42" s="151">
        <v>16385</v>
      </c>
      <c r="B42" s="126">
        <f>'Engagement Summary'!C42-'Engagement Summary'!D42</f>
        <v>956</v>
      </c>
      <c r="C42" s="147">
        <v>45726</v>
      </c>
      <c r="D42" s="150">
        <v>2315</v>
      </c>
      <c r="H42" s="165">
        <v>45726</v>
      </c>
      <c r="I42" s="126">
        <v>2315</v>
      </c>
      <c r="J42" s="126"/>
      <c r="U42" s="136">
        <v>45726</v>
      </c>
      <c r="V42" s="132">
        <v>2315</v>
      </c>
      <c r="W42" s="132">
        <v>59353</v>
      </c>
    </row>
    <row r="43" spans="1:23">
      <c r="A43" s="151">
        <v>24548</v>
      </c>
      <c r="B43" s="126">
        <f>'Engagement Summary'!C43-'Engagement Summary'!D43</f>
        <v>1031</v>
      </c>
      <c r="C43" s="147">
        <v>45733</v>
      </c>
      <c r="D43" s="150">
        <v>2188</v>
      </c>
      <c r="H43" s="165">
        <v>45733</v>
      </c>
      <c r="I43" s="126">
        <v>2188</v>
      </c>
      <c r="J43" s="126"/>
      <c r="U43" s="136">
        <v>45733</v>
      </c>
      <c r="V43" s="132">
        <v>2188</v>
      </c>
      <c r="W43" s="132">
        <v>36312</v>
      </c>
    </row>
    <row r="44" spans="1:23">
      <c r="A44" s="151">
        <v>9195</v>
      </c>
      <c r="B44" s="126">
        <f>'Engagement Summary'!C44-'Engagement Summary'!D44</f>
        <v>637</v>
      </c>
      <c r="C44" s="147">
        <v>45740</v>
      </c>
      <c r="D44" s="150">
        <v>2679</v>
      </c>
      <c r="H44" s="165">
        <v>45740</v>
      </c>
      <c r="I44" s="126">
        <v>2679</v>
      </c>
      <c r="J44" s="126"/>
      <c r="U44" s="136">
        <v>45740</v>
      </c>
      <c r="V44" s="132">
        <v>2679</v>
      </c>
      <c r="W44" s="132">
        <v>44995</v>
      </c>
    </row>
    <row r="45" spans="1:23">
      <c r="A45" s="151">
        <v>18071</v>
      </c>
      <c r="B45" s="126">
        <f>'Engagement Summary'!C45-'Engagement Summary'!D45</f>
        <v>1268</v>
      </c>
      <c r="C45" s="147">
        <v>45747</v>
      </c>
      <c r="D45" s="150">
        <v>2781</v>
      </c>
      <c r="H45" s="165">
        <v>45747</v>
      </c>
      <c r="I45" s="126">
        <v>2781</v>
      </c>
      <c r="J45" s="126"/>
      <c r="U45" s="136">
        <v>45747</v>
      </c>
      <c r="V45" s="132">
        <v>2781</v>
      </c>
      <c r="W45" s="132">
        <v>51236</v>
      </c>
    </row>
    <row r="46" spans="1:23">
      <c r="A46" s="151">
        <v>16875</v>
      </c>
      <c r="B46" s="126">
        <f>'Engagement Summary'!C46-'Engagement Summary'!D46</f>
        <v>725</v>
      </c>
      <c r="C46" s="147">
        <v>45754</v>
      </c>
      <c r="D46" s="150">
        <v>3291</v>
      </c>
      <c r="H46" s="165">
        <v>45754</v>
      </c>
      <c r="I46" s="126">
        <v>3291</v>
      </c>
      <c r="J46" s="126"/>
      <c r="U46" s="136">
        <v>45754</v>
      </c>
      <c r="V46" s="132">
        <v>3291</v>
      </c>
      <c r="W46" s="132">
        <v>54066</v>
      </c>
    </row>
    <row r="47" spans="1:23">
      <c r="A47" s="151">
        <v>9567</v>
      </c>
      <c r="B47" s="126">
        <f>'Engagement Summary'!C47-'Engagement Summary'!D47</f>
        <v>471</v>
      </c>
      <c r="C47" s="147">
        <v>45761</v>
      </c>
      <c r="D47" s="150">
        <v>3216</v>
      </c>
      <c r="H47" s="165">
        <v>45761</v>
      </c>
      <c r="I47" s="126">
        <v>3216</v>
      </c>
      <c r="J47" s="126"/>
      <c r="U47" s="136">
        <v>45761</v>
      </c>
      <c r="V47" s="132">
        <v>3216</v>
      </c>
      <c r="W47" s="132">
        <v>78882</v>
      </c>
    </row>
    <row r="48" spans="1:23">
      <c r="A48" s="151">
        <v>20306</v>
      </c>
      <c r="B48" s="126">
        <f>'Engagement Summary'!C48-'Engagement Summary'!D48</f>
        <v>1291</v>
      </c>
      <c r="C48" s="147">
        <v>45768</v>
      </c>
      <c r="D48" s="150">
        <v>1728</v>
      </c>
      <c r="H48" s="165">
        <v>45768</v>
      </c>
      <c r="I48" s="126">
        <v>1728</v>
      </c>
      <c r="J48" s="126"/>
      <c r="U48" s="136">
        <v>45768</v>
      </c>
      <c r="V48" s="132">
        <v>1728</v>
      </c>
      <c r="W48" s="132">
        <v>60429</v>
      </c>
    </row>
    <row r="49" spans="1:23">
      <c r="A49" s="151">
        <v>21134</v>
      </c>
      <c r="B49" s="126">
        <f>'Engagement Summary'!C49-'Engagement Summary'!D49</f>
        <v>400</v>
      </c>
      <c r="C49" s="147">
        <v>45775</v>
      </c>
      <c r="D49" s="150">
        <v>2378</v>
      </c>
      <c r="H49" s="165">
        <v>45775</v>
      </c>
      <c r="I49" s="126">
        <v>2378</v>
      </c>
      <c r="J49" s="126"/>
      <c r="U49" s="136">
        <v>45775</v>
      </c>
      <c r="V49" s="132">
        <v>2378</v>
      </c>
      <c r="W49" s="132">
        <v>49246</v>
      </c>
    </row>
    <row r="50" spans="1:23">
      <c r="A50" s="151">
        <v>26872</v>
      </c>
      <c r="B50" s="126">
        <f>'Engagement Summary'!C50-'Engagement Summary'!D50</f>
        <v>1113</v>
      </c>
      <c r="C50" s="147">
        <v>45782</v>
      </c>
      <c r="D50" s="150">
        <v>2054</v>
      </c>
      <c r="H50" s="165">
        <v>45782</v>
      </c>
      <c r="I50" s="126">
        <v>2054</v>
      </c>
      <c r="J50" s="126"/>
      <c r="U50" s="136">
        <v>45782</v>
      </c>
      <c r="V50" s="132">
        <v>2054</v>
      </c>
      <c r="W50" s="132">
        <v>34913</v>
      </c>
    </row>
    <row r="51" spans="1:23">
      <c r="A51" s="151">
        <v>10253</v>
      </c>
      <c r="B51" s="126">
        <f>'Engagement Summary'!C51-'Engagement Summary'!D51</f>
        <v>1198</v>
      </c>
      <c r="C51" s="147">
        <v>45789</v>
      </c>
      <c r="D51" s="150">
        <v>1400</v>
      </c>
      <c r="H51" s="165">
        <v>45789</v>
      </c>
      <c r="I51" s="126">
        <v>1400</v>
      </c>
      <c r="J51" s="126"/>
      <c r="U51" s="136">
        <v>45789</v>
      </c>
      <c r="V51" s="132">
        <v>1400</v>
      </c>
      <c r="W51" s="132">
        <v>57847</v>
      </c>
    </row>
    <row r="52" spans="1:23">
      <c r="A52" s="151">
        <v>23963</v>
      </c>
      <c r="B52" s="126">
        <f>'Engagement Summary'!C52-'Engagement Summary'!D52</f>
        <v>474</v>
      </c>
      <c r="C52" s="147">
        <v>45796</v>
      </c>
      <c r="D52" s="150">
        <v>3569</v>
      </c>
      <c r="H52" s="165">
        <v>45796</v>
      </c>
      <c r="I52" s="126">
        <v>3569</v>
      </c>
      <c r="J52" s="126"/>
      <c r="U52" s="136">
        <v>45796</v>
      </c>
      <c r="V52" s="132">
        <v>3569</v>
      </c>
      <c r="W52" s="132">
        <v>49692</v>
      </c>
    </row>
    <row r="53" spans="1:23">
      <c r="A53" s="151">
        <v>11335</v>
      </c>
      <c r="B53" s="126">
        <f>'Engagement Summary'!C53-'Engagement Summary'!D53</f>
        <v>1132</v>
      </c>
      <c r="C53" s="147">
        <v>45803</v>
      </c>
      <c r="D53" s="150">
        <v>2909</v>
      </c>
      <c r="H53" s="165">
        <v>45803</v>
      </c>
      <c r="I53" s="126">
        <v>2909</v>
      </c>
      <c r="J53" s="126"/>
      <c r="U53" s="136">
        <v>45803</v>
      </c>
      <c r="V53" s="132">
        <v>2909</v>
      </c>
      <c r="W53" s="132">
        <v>48399</v>
      </c>
    </row>
    <row r="54" spans="1:23">
      <c r="A54" s="151">
        <v>12115</v>
      </c>
      <c r="B54" s="126">
        <f>'Engagement Summary'!C54-'Engagement Summary'!D54</f>
        <v>844</v>
      </c>
      <c r="C54" s="147">
        <v>45810</v>
      </c>
      <c r="D54" s="150">
        <v>2049</v>
      </c>
      <c r="H54" s="165">
        <v>45810</v>
      </c>
      <c r="I54" s="126">
        <v>2049</v>
      </c>
      <c r="J54" s="126"/>
      <c r="U54" s="136">
        <v>45810</v>
      </c>
      <c r="V54" s="132">
        <v>2049</v>
      </c>
      <c r="W54" s="132">
        <v>39516</v>
      </c>
    </row>
    <row r="55" spans="1:23">
      <c r="A55" s="151">
        <v>24358</v>
      </c>
      <c r="B55" s="126">
        <f>'Engagement Summary'!C55-'Engagement Summary'!D55</f>
        <v>1175</v>
      </c>
      <c r="C55" s="147">
        <v>45817</v>
      </c>
      <c r="D55" s="150">
        <v>2243</v>
      </c>
      <c r="H55" s="165">
        <v>45817</v>
      </c>
      <c r="I55" s="126">
        <v>2243</v>
      </c>
      <c r="J55" s="126"/>
      <c r="U55" s="136">
        <v>45817</v>
      </c>
      <c r="V55" s="132">
        <v>2243</v>
      </c>
      <c r="W55" s="132">
        <v>40484</v>
      </c>
    </row>
    <row r="56" spans="1:23">
      <c r="A56" s="151">
        <v>12181</v>
      </c>
      <c r="B56" s="126">
        <f>'Engagement Summary'!C56-'Engagement Summary'!D56</f>
        <v>559</v>
      </c>
      <c r="C56" s="147">
        <v>45824</v>
      </c>
      <c r="D56" s="150">
        <v>2017</v>
      </c>
      <c r="H56" s="165">
        <v>45824</v>
      </c>
      <c r="I56" s="126">
        <v>2017</v>
      </c>
      <c r="J56" s="126"/>
      <c r="U56" s="136">
        <v>45824</v>
      </c>
      <c r="V56" s="132">
        <v>2017</v>
      </c>
      <c r="W56" s="132">
        <v>38906</v>
      </c>
    </row>
    <row r="57" spans="1:23">
      <c r="A57" s="151">
        <v>17729</v>
      </c>
      <c r="B57" s="126">
        <f>'Engagement Summary'!C57-'Engagement Summary'!D57</f>
        <v>554</v>
      </c>
      <c r="C57" s="147">
        <v>45831</v>
      </c>
      <c r="D57" s="150">
        <v>1384</v>
      </c>
      <c r="H57" s="165">
        <v>45831</v>
      </c>
      <c r="I57" s="126">
        <v>1384</v>
      </c>
      <c r="J57" s="126"/>
      <c r="U57" s="136">
        <v>45831</v>
      </c>
      <c r="V57" s="132">
        <v>1384</v>
      </c>
      <c r="W57" s="132">
        <v>63317</v>
      </c>
    </row>
    <row r="58" spans="1:23">
      <c r="A58" s="151">
        <v>10881</v>
      </c>
      <c r="B58" s="126">
        <f>'Engagement Summary'!C58-'Engagement Summary'!D58</f>
        <v>1225</v>
      </c>
      <c r="C58" s="147">
        <v>45838</v>
      </c>
      <c r="D58" s="150">
        <v>2315</v>
      </c>
      <c r="H58" s="165">
        <v>45838</v>
      </c>
      <c r="I58" s="126">
        <v>2315</v>
      </c>
      <c r="J58" s="126"/>
      <c r="U58" s="136">
        <v>45838</v>
      </c>
      <c r="V58" s="132">
        <v>2315</v>
      </c>
      <c r="W58" s="132">
        <v>57969</v>
      </c>
    </row>
    <row r="59" spans="1:23">
      <c r="A59" s="151">
        <v>18576</v>
      </c>
      <c r="B59" s="126">
        <f>'Engagement Summary'!C59-'Engagement Summary'!D59</f>
        <v>892</v>
      </c>
      <c r="C59" s="147">
        <v>45845</v>
      </c>
      <c r="D59" s="150">
        <v>2669</v>
      </c>
      <c r="H59" s="165">
        <v>45845</v>
      </c>
      <c r="I59" s="126">
        <v>2669</v>
      </c>
      <c r="J59" s="126"/>
      <c r="U59" s="136">
        <v>45845</v>
      </c>
      <c r="V59" s="132">
        <v>2669</v>
      </c>
      <c r="W59" s="132">
        <v>32182</v>
      </c>
    </row>
    <row r="60" spans="1:23">
      <c r="A60" s="151">
        <v>9383</v>
      </c>
      <c r="B60" s="126">
        <f>'Engagement Summary'!C60-'Engagement Summary'!D60</f>
        <v>536</v>
      </c>
      <c r="C60" s="147">
        <v>45852</v>
      </c>
      <c r="D60" s="150">
        <v>2654</v>
      </c>
      <c r="H60" s="165">
        <v>45852</v>
      </c>
      <c r="I60" s="126">
        <v>2654</v>
      </c>
      <c r="J60" s="126"/>
      <c r="U60" s="136">
        <v>45852</v>
      </c>
      <c r="V60" s="132">
        <v>2654</v>
      </c>
      <c r="W60" s="132">
        <v>40815</v>
      </c>
    </row>
    <row r="61" spans="1:23">
      <c r="A61" s="151">
        <v>14178</v>
      </c>
      <c r="B61" s="126">
        <f>'Engagement Summary'!C61-'Engagement Summary'!D61</f>
        <v>1242</v>
      </c>
      <c r="C61" s="147">
        <v>45859</v>
      </c>
      <c r="D61" s="150">
        <v>2694</v>
      </c>
      <c r="H61" s="165">
        <v>45859</v>
      </c>
      <c r="I61" s="126">
        <v>2694</v>
      </c>
      <c r="J61" s="126"/>
      <c r="U61" s="136">
        <v>45859</v>
      </c>
      <c r="V61" s="132">
        <v>2694</v>
      </c>
      <c r="W61" s="132">
        <v>52043</v>
      </c>
    </row>
    <row r="62" spans="1:23">
      <c r="A62" s="151">
        <v>21254</v>
      </c>
      <c r="B62" s="126">
        <f>'Engagement Summary'!C62-'Engagement Summary'!D62</f>
        <v>948</v>
      </c>
      <c r="C62" s="147">
        <v>45866</v>
      </c>
      <c r="D62" s="150">
        <v>3236</v>
      </c>
      <c r="H62" s="165">
        <v>45866</v>
      </c>
      <c r="I62" s="126">
        <v>3236</v>
      </c>
      <c r="J62" s="126"/>
      <c r="U62" s="136">
        <v>45866</v>
      </c>
      <c r="V62" s="132">
        <v>3236</v>
      </c>
      <c r="W62" s="132">
        <v>59271</v>
      </c>
    </row>
    <row r="63" spans="1:23">
      <c r="A63" s="151">
        <v>14215</v>
      </c>
      <c r="B63" s="126">
        <f>'Engagement Summary'!C63-'Engagement Summary'!D63</f>
        <v>762</v>
      </c>
      <c r="C63" s="147">
        <v>45873</v>
      </c>
      <c r="D63" s="150">
        <v>1689</v>
      </c>
      <c r="H63" s="165">
        <v>45873</v>
      </c>
      <c r="I63" s="126">
        <v>1689</v>
      </c>
      <c r="J63" s="126"/>
      <c r="U63" s="136">
        <v>45873</v>
      </c>
      <c r="V63" s="132">
        <v>1689</v>
      </c>
      <c r="W63" s="132">
        <v>48774</v>
      </c>
    </row>
    <row r="64" spans="1:23">
      <c r="A64" s="151">
        <v>16921</v>
      </c>
      <c r="B64" s="126">
        <f>'Engagement Summary'!C64-'Engagement Summary'!D64</f>
        <v>1082</v>
      </c>
      <c r="C64" s="147">
        <v>45880</v>
      </c>
      <c r="D64" s="150">
        <v>2347</v>
      </c>
      <c r="H64" s="165">
        <v>45880</v>
      </c>
      <c r="I64" s="126">
        <v>2347</v>
      </c>
      <c r="J64" s="126"/>
      <c r="U64" s="136">
        <v>45880</v>
      </c>
      <c r="V64" s="132">
        <v>2347</v>
      </c>
      <c r="W64" s="132">
        <v>37461</v>
      </c>
    </row>
    <row r="65" spans="1:23">
      <c r="A65" s="151">
        <v>25130</v>
      </c>
      <c r="B65" s="126">
        <f>'Engagement Summary'!C65-'Engagement Summary'!D65</f>
        <v>1174</v>
      </c>
      <c r="C65" s="147">
        <v>45887</v>
      </c>
      <c r="D65" s="150">
        <v>1819</v>
      </c>
      <c r="H65" s="165">
        <v>45887</v>
      </c>
      <c r="I65" s="126">
        <v>1819</v>
      </c>
      <c r="J65" s="126"/>
      <c r="U65" s="136">
        <v>45887</v>
      </c>
      <c r="V65" s="132">
        <v>1819</v>
      </c>
      <c r="W65" s="132">
        <v>52726</v>
      </c>
    </row>
    <row r="66" spans="1:23">
      <c r="A66" s="151">
        <v>25537</v>
      </c>
      <c r="B66" s="126">
        <f>'Engagement Summary'!C66-'Engagement Summary'!D66</f>
        <v>464</v>
      </c>
      <c r="C66" s="147">
        <v>45894</v>
      </c>
      <c r="D66" s="150">
        <v>2646</v>
      </c>
      <c r="H66" s="165">
        <v>45894</v>
      </c>
      <c r="I66" s="126">
        <v>2646</v>
      </c>
      <c r="J66" s="126"/>
      <c r="U66" s="136">
        <v>45894</v>
      </c>
      <c r="V66" s="132">
        <v>2646</v>
      </c>
      <c r="W66" s="132">
        <v>39009</v>
      </c>
    </row>
    <row r="67" spans="1:23">
      <c r="A67" s="151">
        <v>24943</v>
      </c>
      <c r="B67" s="126">
        <f>'Engagement Summary'!C67-'Engagement Summary'!D67</f>
        <v>543</v>
      </c>
      <c r="C67" s="147">
        <v>45901</v>
      </c>
      <c r="D67" s="150">
        <v>1424</v>
      </c>
      <c r="H67" s="165">
        <v>45901</v>
      </c>
      <c r="I67" s="126">
        <v>1424</v>
      </c>
      <c r="J67" s="126"/>
      <c r="U67" s="136">
        <v>45901</v>
      </c>
      <c r="V67" s="132">
        <v>1424</v>
      </c>
      <c r="W67" s="132">
        <v>46102</v>
      </c>
    </row>
    <row r="68" spans="1:23">
      <c r="A68" s="151">
        <v>14563</v>
      </c>
      <c r="B68" s="126">
        <f>'Engagement Summary'!C68-'Engagement Summary'!D68</f>
        <v>1202</v>
      </c>
      <c r="C68" s="147">
        <v>45908</v>
      </c>
      <c r="D68" s="150">
        <v>1436</v>
      </c>
      <c r="H68" s="165">
        <v>45908</v>
      </c>
      <c r="I68" s="126">
        <v>1436</v>
      </c>
      <c r="J68" s="126"/>
      <c r="U68" s="136">
        <v>45908</v>
      </c>
      <c r="V68" s="132">
        <v>1436</v>
      </c>
      <c r="W68" s="132">
        <v>19299</v>
      </c>
    </row>
    <row r="69" spans="1:23">
      <c r="A69" s="151">
        <v>26273</v>
      </c>
      <c r="B69" s="126">
        <f>'Engagement Summary'!C69-'Engagement Summary'!D69</f>
        <v>1390</v>
      </c>
      <c r="C69" s="150" t="s">
        <v>360</v>
      </c>
      <c r="D69" s="150">
        <v>161588</v>
      </c>
      <c r="H69" s="165" t="s">
        <v>360</v>
      </c>
      <c r="I69" s="126">
        <v>161588</v>
      </c>
      <c r="J69" s="126"/>
      <c r="U69" s="132" t="s">
        <v>360</v>
      </c>
      <c r="V69" s="132">
        <v>161588</v>
      </c>
      <c r="W69" s="132">
        <v>3215928</v>
      </c>
    </row>
    <row r="70" spans="1:23">
      <c r="A70" s="151">
        <v>10858</v>
      </c>
      <c r="B70" s="126">
        <f>'Engagement Summary'!C70-'Engagement Summary'!D70</f>
        <v>984</v>
      </c>
      <c r="C70" s="132"/>
      <c r="D70" s="132"/>
    </row>
    <row r="71" spans="1:23">
      <c r="A71" s="151">
        <v>25038</v>
      </c>
      <c r="B71" s="126">
        <f>'Engagement Summary'!C71-'Engagement Summary'!D71</f>
        <v>1204</v>
      </c>
    </row>
    <row r="72" spans="1:23">
      <c r="A72" s="151">
        <v>9092</v>
      </c>
      <c r="B72" s="126">
        <f>'Engagement Summary'!C72-'Engagement Summary'!D72</f>
        <v>532</v>
      </c>
    </row>
    <row r="73" spans="1:23">
      <c r="A73" s="151">
        <v>17662</v>
      </c>
      <c r="B73" s="126">
        <f>'Engagement Summary'!C73-'Engagement Summary'!D73</f>
        <v>1058</v>
      </c>
    </row>
    <row r="74" spans="1:23">
      <c r="A74" s="151">
        <v>5924</v>
      </c>
      <c r="B74" s="126">
        <f>'Engagement Summary'!C74-'Engagement Summary'!D74</f>
        <v>676</v>
      </c>
    </row>
    <row r="75" spans="1:23">
      <c r="A75" s="151">
        <v>25347</v>
      </c>
      <c r="B75" s="126">
        <f>'Engagement Summary'!C75-'Engagement Summary'!D75</f>
        <v>577</v>
      </c>
    </row>
    <row r="76" spans="1:23">
      <c r="A76" s="151">
        <v>8910</v>
      </c>
      <c r="B76" s="126">
        <f>'Engagement Summary'!C76-'Engagement Summary'!D76</f>
        <v>682</v>
      </c>
    </row>
    <row r="77" spans="1:23">
      <c r="A77" s="151">
        <v>20438</v>
      </c>
      <c r="B77" s="126">
        <f>'Engagement Summary'!C77-'Engagement Summary'!D77</f>
        <v>450</v>
      </c>
    </row>
    <row r="78" spans="1:23">
      <c r="A78" s="151">
        <v>8760</v>
      </c>
      <c r="B78" s="126">
        <f>'Engagement Summary'!C78-'Engagement Summary'!D78</f>
        <v>683</v>
      </c>
    </row>
    <row r="79" spans="1:23">
      <c r="A79" s="151">
        <v>6625</v>
      </c>
      <c r="B79" s="126">
        <f>'Engagement Summary'!C79-'Engagement Summary'!D79</f>
        <v>1154</v>
      </c>
    </row>
    <row r="80" spans="1:23">
      <c r="A80" s="151">
        <v>23329</v>
      </c>
      <c r="B80" s="126">
        <f>'Engagement Summary'!C80-'Engagement Summary'!D80</f>
        <v>808</v>
      </c>
    </row>
    <row r="81" spans="1:2">
      <c r="A81" s="151">
        <v>7299</v>
      </c>
      <c r="B81" s="126">
        <f>'Engagement Summary'!C81-'Engagement Summary'!D81</f>
        <v>871</v>
      </c>
    </row>
    <row r="82" spans="1:2">
      <c r="A82" s="151">
        <v>14496</v>
      </c>
      <c r="B82" s="126">
        <f>'Engagement Summary'!C82-'Engagement Summary'!D82</f>
        <v>704</v>
      </c>
    </row>
    <row r="83" spans="1:2">
      <c r="A83" s="151">
        <v>25703</v>
      </c>
      <c r="B83" s="126">
        <f>'Engagement Summary'!C83-'Engagement Summary'!D83</f>
        <v>611</v>
      </c>
    </row>
    <row r="84" spans="1:2">
      <c r="A84" s="151">
        <v>15108</v>
      </c>
      <c r="B84" s="126">
        <f>'Engagement Summary'!C84-'Engagement Summary'!D84</f>
        <v>405</v>
      </c>
    </row>
    <row r="85" spans="1:2">
      <c r="A85" s="151">
        <v>18867</v>
      </c>
      <c r="B85" s="126">
        <f>'Engagement Summary'!C85-'Engagement Summary'!D85</f>
        <v>382</v>
      </c>
    </row>
    <row r="86" spans="1:2">
      <c r="A86" s="151">
        <v>17574</v>
      </c>
      <c r="B86" s="126">
        <f>'Engagement Summary'!C86-'Engagement Summary'!D86</f>
        <v>1117</v>
      </c>
    </row>
    <row r="87" spans="1:2">
      <c r="A87" s="151">
        <v>12840</v>
      </c>
      <c r="B87" s="126">
        <f>'Engagement Summary'!C87-'Engagement Summary'!D87</f>
        <v>477</v>
      </c>
    </row>
    <row r="88" spans="1:2">
      <c r="A88" s="151">
        <v>21079</v>
      </c>
      <c r="B88" s="126">
        <f>'Engagement Summary'!C88-'Engagement Summary'!D88</f>
        <v>1099</v>
      </c>
    </row>
    <row r="89" spans="1:2">
      <c r="A89" s="151">
        <v>23486</v>
      </c>
      <c r="B89" s="126">
        <f>'Engagement Summary'!C89-'Engagement Summary'!D89</f>
        <v>567</v>
      </c>
    </row>
    <row r="90" spans="1:2">
      <c r="A90" s="151">
        <v>5960</v>
      </c>
      <c r="B90" s="126">
        <f>'Engagement Summary'!C90-'Engagement Summary'!D90</f>
        <v>1133</v>
      </c>
    </row>
    <row r="91" spans="1:2">
      <c r="A91" s="151">
        <v>13301</v>
      </c>
      <c r="B91" s="126">
        <f>'Engagement Summary'!C91-'Engagement Summary'!D91</f>
        <v>850</v>
      </c>
    </row>
    <row r="92" spans="1:2">
      <c r="A92" s="151">
        <v>10563</v>
      </c>
      <c r="B92" s="126">
        <f>'Engagement Summary'!C92-'Engagement Summary'!D92</f>
        <v>413</v>
      </c>
    </row>
    <row r="93" spans="1:2">
      <c r="A93" s="151">
        <v>19949</v>
      </c>
      <c r="B93" s="126">
        <f>'Engagement Summary'!C93-'Engagement Summary'!D93</f>
        <v>1387</v>
      </c>
    </row>
    <row r="94" spans="1:2">
      <c r="A94" s="151">
        <v>14273</v>
      </c>
      <c r="B94" s="126">
        <f>'Engagement Summary'!C94-'Engagement Summary'!D94</f>
        <v>537</v>
      </c>
    </row>
    <row r="95" spans="1:2">
      <c r="A95" s="151">
        <v>9247</v>
      </c>
      <c r="B95" s="126">
        <f>'Engagement Summary'!C95-'Engagement Summary'!D95</f>
        <v>443</v>
      </c>
    </row>
    <row r="96" spans="1:2">
      <c r="A96" s="151">
        <v>11972</v>
      </c>
      <c r="B96" s="126">
        <f>'Engagement Summary'!C96-'Engagement Summary'!D96</f>
        <v>1283</v>
      </c>
    </row>
    <row r="97" spans="1:2">
      <c r="A97" s="151">
        <v>13314</v>
      </c>
      <c r="B97" s="126">
        <f>'Engagement Summary'!C97-'Engagement Summary'!D97</f>
        <v>725</v>
      </c>
    </row>
    <row r="98" spans="1:2">
      <c r="A98" s="151">
        <v>14749</v>
      </c>
      <c r="B98" s="126">
        <f>'Engagement Summary'!C98-'Engagement Summary'!D98</f>
        <v>467</v>
      </c>
    </row>
    <row r="99" spans="1:2">
      <c r="A99" s="151">
        <v>6868</v>
      </c>
      <c r="B99" s="126">
        <f>'Engagement Summary'!C99-'Engagement Summary'!D99</f>
        <v>1354</v>
      </c>
    </row>
    <row r="100" spans="1:2">
      <c r="A100" s="151">
        <v>6027</v>
      </c>
      <c r="B100" s="126">
        <f>'Engagement Summary'!C100-'Engagement Summary'!D100</f>
        <v>520</v>
      </c>
    </row>
    <row r="101" spans="1:2">
      <c r="A101" s="151">
        <v>25267</v>
      </c>
      <c r="B101" s="126">
        <f>'Engagement Summary'!C101-'Engagement Summary'!D101</f>
        <v>442</v>
      </c>
    </row>
    <row r="102" spans="1:2">
      <c r="A102" s="151">
        <v>5900</v>
      </c>
      <c r="B102" s="126">
        <f>'Engagement Summary'!C102-'Engagement Summary'!D102</f>
        <v>546</v>
      </c>
    </row>
    <row r="103" spans="1:2">
      <c r="A103" s="151">
        <v>11181</v>
      </c>
      <c r="B103" s="126">
        <f>'Engagement Summary'!C103-'Engagement Summary'!D103</f>
        <v>844</v>
      </c>
    </row>
    <row r="104" spans="1:2">
      <c r="A104" s="151">
        <v>9592</v>
      </c>
      <c r="B104" s="126">
        <f>'Engagement Summary'!C104-'Engagement Summary'!D104</f>
        <v>341</v>
      </c>
    </row>
    <row r="105" spans="1:2">
      <c r="A105" s="151">
        <v>5291</v>
      </c>
      <c r="B105" s="126">
        <f>'Engagement Summary'!C105-'Engagement Summary'!D105</f>
        <v>869</v>
      </c>
    </row>
    <row r="106" spans="1:2">
      <c r="A106" s="151">
        <v>22244</v>
      </c>
      <c r="B106" s="126">
        <f>'Engagement Summary'!C106-'Engagement Summary'!D106</f>
        <v>718</v>
      </c>
    </row>
    <row r="107" spans="1:2">
      <c r="A107" s="151">
        <v>6824</v>
      </c>
      <c r="B107" s="126">
        <f>'Engagement Summary'!C107-'Engagement Summary'!D107</f>
        <v>735</v>
      </c>
    </row>
    <row r="108" spans="1:2">
      <c r="A108" s="151">
        <v>24112</v>
      </c>
      <c r="B108" s="126">
        <f>'Engagement Summary'!C108-'Engagement Summary'!D108</f>
        <v>523</v>
      </c>
    </row>
    <row r="109" spans="1:2">
      <c r="A109" s="151">
        <v>25478</v>
      </c>
      <c r="B109" s="126">
        <f>'Engagement Summary'!C109-'Engagement Summary'!D109</f>
        <v>422</v>
      </c>
    </row>
    <row r="110" spans="1:2">
      <c r="A110" s="151">
        <v>11235</v>
      </c>
      <c r="B110" s="126">
        <f>'Engagement Summary'!C110-'Engagement Summary'!D110</f>
        <v>915</v>
      </c>
    </row>
    <row r="111" spans="1:2">
      <c r="A111" s="151">
        <v>6120</v>
      </c>
      <c r="B111" s="126">
        <f>'Engagement Summary'!C111-'Engagement Summary'!D111</f>
        <v>1108</v>
      </c>
    </row>
    <row r="112" spans="1:2">
      <c r="A112" s="151">
        <v>20572</v>
      </c>
      <c r="B112" s="126">
        <f>'Engagement Summary'!C112-'Engagement Summary'!D112</f>
        <v>338</v>
      </c>
    </row>
    <row r="113" spans="1:2">
      <c r="A113" s="151">
        <v>14975</v>
      </c>
      <c r="B113" s="126">
        <f>'Engagement Summary'!C113-'Engagement Summary'!D113</f>
        <v>724</v>
      </c>
    </row>
    <row r="114" spans="1:2">
      <c r="A114" s="151">
        <v>22234</v>
      </c>
      <c r="B114" s="126">
        <f>'Engagement Summary'!C114-'Engagement Summary'!D114</f>
        <v>463</v>
      </c>
    </row>
    <row r="115" spans="1:2">
      <c r="A115" s="151">
        <v>6532</v>
      </c>
      <c r="B115" s="126">
        <f>'Engagement Summary'!C115-'Engagement Summary'!D115</f>
        <v>356</v>
      </c>
    </row>
    <row r="116" spans="1:2">
      <c r="A116" s="151">
        <v>24858</v>
      </c>
      <c r="B116" s="126">
        <f>'Engagement Summary'!C116-'Engagement Summary'!D116</f>
        <v>378</v>
      </c>
    </row>
    <row r="117" spans="1:2">
      <c r="A117" s="151">
        <v>13883</v>
      </c>
      <c r="B117" s="126">
        <f>'Engagement Summary'!C117-'Engagement Summary'!D117</f>
        <v>636</v>
      </c>
    </row>
    <row r="118" spans="1:2">
      <c r="A118" s="151">
        <v>18654</v>
      </c>
      <c r="B118" s="126">
        <f>'Engagement Summary'!C118-'Engagement Summary'!D118</f>
        <v>699</v>
      </c>
    </row>
    <row r="119" spans="1:2">
      <c r="A119" s="151">
        <v>25234</v>
      </c>
      <c r="B119" s="126">
        <f>'Engagement Summary'!C119-'Engagement Summary'!D119</f>
        <v>1279</v>
      </c>
    </row>
    <row r="120" spans="1:2">
      <c r="A120" s="151">
        <v>6772</v>
      </c>
      <c r="B120" s="126">
        <f>'Engagement Summary'!C120-'Engagement Summary'!D120</f>
        <v>1006</v>
      </c>
    </row>
    <row r="121" spans="1:2">
      <c r="A121" s="151">
        <v>22428</v>
      </c>
      <c r="B121" s="126">
        <f>'Engagement Summary'!C121-'Engagement Summary'!D121</f>
        <v>478</v>
      </c>
    </row>
    <row r="122" spans="1:2">
      <c r="A122" s="151">
        <v>11911</v>
      </c>
      <c r="B122" s="126">
        <f>'Engagement Summary'!C122-'Engagement Summary'!D122</f>
        <v>545</v>
      </c>
    </row>
    <row r="123" spans="1:2">
      <c r="A123" s="151">
        <v>21900</v>
      </c>
      <c r="B123" s="126">
        <f>'Engagement Summary'!C123-'Engagement Summary'!D123</f>
        <v>1005</v>
      </c>
    </row>
    <row r="124" spans="1:2">
      <c r="A124" s="151">
        <v>25542</v>
      </c>
      <c r="B124" s="126">
        <f>'Engagement Summary'!C124-'Engagement Summary'!D124</f>
        <v>765</v>
      </c>
    </row>
    <row r="125" spans="1:2">
      <c r="A125" s="151">
        <v>7140</v>
      </c>
      <c r="B125" s="126">
        <f>'Engagement Summary'!C125-'Engagement Summary'!D125</f>
        <v>564</v>
      </c>
    </row>
    <row r="126" spans="1:2">
      <c r="A126" s="151">
        <v>20474</v>
      </c>
      <c r="B126" s="126">
        <f>'Engagement Summary'!C126-'Engagement Summary'!D126</f>
        <v>496</v>
      </c>
    </row>
    <row r="127" spans="1:2">
      <c r="A127" s="151">
        <v>8698</v>
      </c>
      <c r="B127" s="126">
        <f>'Engagement Summary'!C127-'Engagement Summary'!D127</f>
        <v>1128</v>
      </c>
    </row>
    <row r="128" spans="1:2">
      <c r="A128" s="151">
        <v>10402</v>
      </c>
      <c r="B128" s="126">
        <f>'Engagement Summary'!C128-'Engagement Summary'!D128</f>
        <v>565</v>
      </c>
    </row>
    <row r="129" spans="1:2">
      <c r="A129" s="151">
        <v>26618</v>
      </c>
      <c r="B129" s="126">
        <f>'Engagement Summary'!C129-'Engagement Summary'!D129</f>
        <v>813</v>
      </c>
    </row>
    <row r="130" spans="1:2">
      <c r="A130" s="152">
        <v>7975</v>
      </c>
      <c r="B130" s="126">
        <f>'Engagement Summary'!C130-'Engagement Summary'!D130</f>
        <v>1301</v>
      </c>
    </row>
    <row r="131" spans="1:2">
      <c r="A131" s="151">
        <v>19054</v>
      </c>
      <c r="B131" s="126">
        <f>'Engagement Summary'!C131-'Engagement Summary'!D131</f>
        <v>436</v>
      </c>
    </row>
    <row r="132" spans="1:2">
      <c r="A132" s="151">
        <v>13740</v>
      </c>
      <c r="B132" s="126">
        <f>'Engagement Summary'!C132-'Engagement Summary'!D132</f>
        <v>978</v>
      </c>
    </row>
    <row r="133" spans="1:2">
      <c r="A133" s="151">
        <v>18442</v>
      </c>
      <c r="B133" s="126">
        <f>'Engagement Summary'!C133-'Engagement Summary'!D133</f>
        <v>1367</v>
      </c>
    </row>
    <row r="134" spans="1:2">
      <c r="A134" s="151">
        <v>10104</v>
      </c>
      <c r="B134" s="126">
        <f>'Engagement Summary'!C134-'Engagement Summary'!D134</f>
        <v>1337</v>
      </c>
    </row>
    <row r="135" spans="1:2">
      <c r="A135" s="151">
        <v>21771</v>
      </c>
      <c r="B135" s="126">
        <f>'Engagement Summary'!C135-'Engagement Summary'!D135</f>
        <v>1014</v>
      </c>
    </row>
    <row r="136" spans="1:2">
      <c r="A136" s="151">
        <v>22191</v>
      </c>
      <c r="B136" s="126">
        <f>'Engagement Summary'!C136-'Engagement Summary'!D136</f>
        <v>940</v>
      </c>
    </row>
    <row r="137" spans="1:2">
      <c r="A137" s="151">
        <v>27753</v>
      </c>
      <c r="B137" s="126">
        <f>'Engagement Summary'!C137-'Engagement Summary'!D137</f>
        <v>690</v>
      </c>
    </row>
    <row r="138" spans="1:2">
      <c r="A138" s="151">
        <v>23736</v>
      </c>
      <c r="B138" s="126">
        <f>'Engagement Summary'!C138-'Engagement Summary'!D138</f>
        <v>1335</v>
      </c>
    </row>
    <row r="139" spans="1:2">
      <c r="A139" s="151">
        <v>27393</v>
      </c>
      <c r="B139" s="126">
        <f>'Engagement Summary'!C139-'Engagement Summary'!D139</f>
        <v>1191</v>
      </c>
    </row>
    <row r="140" spans="1:2">
      <c r="A140" s="151">
        <v>10343</v>
      </c>
      <c r="B140" s="126">
        <f>'Engagement Summary'!C140-'Engagement Summary'!D140</f>
        <v>353</v>
      </c>
    </row>
    <row r="141" spans="1:2">
      <c r="A141" s="151">
        <v>25259</v>
      </c>
      <c r="B141" s="126">
        <f>'Engagement Summary'!C141-'Engagement Summary'!D141</f>
        <v>486</v>
      </c>
    </row>
    <row r="142" spans="1:2">
      <c r="A142" s="151">
        <v>24827</v>
      </c>
      <c r="B142" s="126">
        <f>'Engagement Summary'!C142-'Engagement Summary'!D142</f>
        <v>889</v>
      </c>
    </row>
    <row r="143" spans="1:2">
      <c r="A143" s="151">
        <v>11908</v>
      </c>
      <c r="B143" s="126">
        <f>'Engagement Summary'!C143-'Engagement Summary'!D143</f>
        <v>983</v>
      </c>
    </row>
    <row r="144" spans="1:2">
      <c r="A144" s="151">
        <v>11005</v>
      </c>
      <c r="B144" s="126">
        <f>'Engagement Summary'!C144-'Engagement Summary'!D144</f>
        <v>581</v>
      </c>
    </row>
    <row r="145" spans="1:2">
      <c r="A145" s="151">
        <v>26333</v>
      </c>
      <c r="B145" s="126">
        <f>'Engagement Summary'!C145-'Engagement Summary'!D145</f>
        <v>814</v>
      </c>
    </row>
    <row r="146" spans="1:2">
      <c r="A146" s="151">
        <v>5495</v>
      </c>
      <c r="B146" s="126">
        <f>'Engagement Summary'!C146-'Engagement Summary'!D146</f>
        <v>919</v>
      </c>
    </row>
    <row r="147" spans="1:2">
      <c r="A147" s="151">
        <v>15655</v>
      </c>
      <c r="B147" s="126">
        <f>'Engagement Summary'!C147-'Engagement Summary'!D147</f>
        <v>676</v>
      </c>
    </row>
    <row r="148" spans="1:2">
      <c r="A148" s="151">
        <v>13763</v>
      </c>
      <c r="B148" s="126">
        <f>'Engagement Summary'!C148-'Engagement Summary'!D148</f>
        <v>459</v>
      </c>
    </row>
    <row r="149" spans="1:2">
      <c r="A149" s="151">
        <v>26073</v>
      </c>
      <c r="B149" s="126">
        <f>'Engagement Summary'!C149-'Engagement Summary'!D149</f>
        <v>576</v>
      </c>
    </row>
    <row r="150" spans="1:2">
      <c r="A150" s="151">
        <v>12774</v>
      </c>
      <c r="B150" s="126">
        <f>'Engagement Summary'!C150-'Engagement Summary'!D150</f>
        <v>447</v>
      </c>
    </row>
    <row r="151" spans="1:2">
      <c r="A151" s="151">
        <v>19000</v>
      </c>
      <c r="B151" s="126">
        <f>'Engagement Summary'!C151-'Engagement Summary'!D151</f>
        <v>377</v>
      </c>
    </row>
    <row r="152" spans="1:2">
      <c r="A152" s="151">
        <v>14051</v>
      </c>
      <c r="B152" s="126">
        <f>'Engagement Summary'!C152-'Engagement Summary'!D152</f>
        <v>932</v>
      </c>
    </row>
    <row r="153" spans="1:2">
      <c r="A153" s="151">
        <v>27782</v>
      </c>
      <c r="B153" s="126">
        <f>'Engagement Summary'!C153-'Engagement Summary'!D153</f>
        <v>1356</v>
      </c>
    </row>
    <row r="154" spans="1:2">
      <c r="A154" s="151">
        <v>7859</v>
      </c>
      <c r="B154" s="126">
        <f>'Engagement Summary'!C154-'Engagement Summary'!D154</f>
        <v>1281</v>
      </c>
    </row>
    <row r="155" spans="1:2">
      <c r="A155" s="151">
        <v>15773</v>
      </c>
      <c r="B155" s="126">
        <f>'Engagement Summary'!C155-'Engagement Summary'!D155</f>
        <v>1041</v>
      </c>
    </row>
    <row r="156" spans="1:2">
      <c r="A156" s="151">
        <v>20595</v>
      </c>
      <c r="B156" s="126">
        <f>'Engagement Summary'!C156-'Engagement Summary'!D156</f>
        <v>1184</v>
      </c>
    </row>
    <row r="157" spans="1:2">
      <c r="A157" s="151">
        <v>12031</v>
      </c>
      <c r="B157" s="126">
        <f>'Engagement Summary'!C157-'Engagement Summary'!D157</f>
        <v>684</v>
      </c>
    </row>
    <row r="158" spans="1:2">
      <c r="A158" s="151">
        <v>15128</v>
      </c>
      <c r="B158" s="126">
        <f>'Engagement Summary'!C158-'Engagement Summary'!D158</f>
        <v>354</v>
      </c>
    </row>
    <row r="159" spans="1:2">
      <c r="A159" s="151">
        <v>11826</v>
      </c>
      <c r="B159" s="126">
        <f>'Engagement Summary'!C159-'Engagement Summary'!D159</f>
        <v>1126</v>
      </c>
    </row>
    <row r="160" spans="1:2">
      <c r="A160" s="151">
        <v>12562</v>
      </c>
      <c r="B160" s="126">
        <f>'Engagement Summary'!C160-'Engagement Summary'!D160</f>
        <v>569</v>
      </c>
    </row>
    <row r="161" spans="1:2">
      <c r="A161" s="151">
        <v>13013</v>
      </c>
      <c r="B161" s="126">
        <f>'Engagement Summary'!C161-'Engagement Summary'!D161</f>
        <v>730</v>
      </c>
    </row>
    <row r="162" spans="1:2">
      <c r="A162" s="151">
        <v>12937</v>
      </c>
      <c r="B162" s="126">
        <f>'Engagement Summary'!C162-'Engagement Summary'!D162</f>
        <v>578</v>
      </c>
    </row>
    <row r="163" spans="1:2">
      <c r="A163" s="151">
        <v>14534</v>
      </c>
      <c r="B163" s="126">
        <f>'Engagement Summary'!C163-'Engagement Summary'!D163</f>
        <v>935</v>
      </c>
    </row>
    <row r="164" spans="1:2">
      <c r="A164" s="151">
        <v>8182</v>
      </c>
      <c r="B164" s="126">
        <f>'Engagement Summary'!C164-'Engagement Summary'!D164</f>
        <v>698</v>
      </c>
    </row>
    <row r="165" spans="1:2">
      <c r="A165" s="151">
        <v>10615</v>
      </c>
      <c r="B165" s="126">
        <f>'Engagement Summary'!C165-'Engagement Summary'!D165</f>
        <v>325</v>
      </c>
    </row>
    <row r="166" spans="1:2">
      <c r="A166" s="151">
        <v>20109</v>
      </c>
      <c r="B166" s="126">
        <f>'Engagement Summary'!C166-'Engagement Summary'!D166</f>
        <v>994</v>
      </c>
    </row>
    <row r="167" spans="1:2">
      <c r="A167" s="151">
        <v>26024</v>
      </c>
      <c r="B167" s="126">
        <f>'Engagement Summary'!C167-'Engagement Summary'!D167</f>
        <v>320</v>
      </c>
    </row>
    <row r="168" spans="1:2">
      <c r="A168" s="151">
        <v>26730</v>
      </c>
      <c r="B168" s="126">
        <f>'Engagement Summary'!C168-'Engagement Summary'!D168</f>
        <v>544</v>
      </c>
    </row>
    <row r="169" spans="1:2">
      <c r="A169" s="151">
        <v>10563</v>
      </c>
      <c r="B169" s="126">
        <f>'Engagement Summary'!C169-'Engagement Summary'!D169</f>
        <v>520</v>
      </c>
    </row>
    <row r="170" spans="1:2">
      <c r="A170" s="151">
        <v>27575</v>
      </c>
      <c r="B170" s="126">
        <f>'Engagement Summary'!C170-'Engagement Summary'!D170</f>
        <v>485</v>
      </c>
    </row>
    <row r="171" spans="1:2">
      <c r="A171" s="151">
        <v>14479</v>
      </c>
      <c r="B171" s="126">
        <f>'Engagement Summary'!C171-'Engagement Summary'!D171</f>
        <v>1234</v>
      </c>
    </row>
    <row r="172" spans="1:2">
      <c r="A172" s="151">
        <v>15915</v>
      </c>
      <c r="B172" s="126">
        <f>'Engagement Summary'!C172-'Engagement Summary'!D172</f>
        <v>596</v>
      </c>
    </row>
    <row r="173" spans="1:2">
      <c r="A173" s="151">
        <v>12767</v>
      </c>
      <c r="B173" s="126">
        <f>'Engagement Summary'!C173-'Engagement Summary'!D173</f>
        <v>831</v>
      </c>
    </row>
    <row r="174" spans="1:2">
      <c r="A174" s="151">
        <v>12170</v>
      </c>
      <c r="B174" s="126">
        <f>'Engagement Summary'!C174-'Engagement Summary'!D174</f>
        <v>1033</v>
      </c>
    </row>
    <row r="175" spans="1:2">
      <c r="A175" s="151">
        <v>7245</v>
      </c>
      <c r="B175" s="126">
        <f>'Engagement Summary'!C175-'Engagement Summary'!D175</f>
        <v>805</v>
      </c>
    </row>
    <row r="176" spans="1:2">
      <c r="A176" s="151">
        <v>12985</v>
      </c>
      <c r="B176" s="126">
        <f>'Engagement Summary'!C176-'Engagement Summary'!D176</f>
        <v>1274</v>
      </c>
    </row>
    <row r="177" spans="1:2">
      <c r="A177" s="151">
        <v>16377</v>
      </c>
      <c r="B177" s="126">
        <f>'Engagement Summary'!C177-'Engagement Summary'!D177</f>
        <v>428</v>
      </c>
    </row>
    <row r="178" spans="1:2">
      <c r="A178" s="151">
        <v>11453</v>
      </c>
      <c r="B178" s="126">
        <f>'Engagement Summary'!C178-'Engagement Summary'!D178</f>
        <v>952</v>
      </c>
    </row>
    <row r="179" spans="1:2">
      <c r="A179" s="151">
        <v>12323</v>
      </c>
      <c r="B179" s="126">
        <f>'Engagement Summary'!C179-'Engagement Summary'!D179</f>
        <v>951</v>
      </c>
    </row>
    <row r="180" spans="1:2">
      <c r="A180" s="151">
        <v>11911</v>
      </c>
      <c r="B180" s="126">
        <f>'Engagement Summary'!C180-'Engagement Summary'!D180</f>
        <v>604</v>
      </c>
    </row>
    <row r="181" spans="1:2">
      <c r="A181" s="151">
        <v>27809</v>
      </c>
      <c r="B181" s="126">
        <f>'Engagement Summary'!C181-'Engagement Summary'!D181</f>
        <v>1139</v>
      </c>
    </row>
    <row r="182" spans="1:2">
      <c r="A182" s="151">
        <v>21464</v>
      </c>
      <c r="B182" s="126">
        <f>'Engagement Summary'!C182-'Engagement Summary'!D182</f>
        <v>567</v>
      </c>
    </row>
    <row r="183" spans="1:2">
      <c r="A183" s="151">
        <v>27126</v>
      </c>
      <c r="B183" s="126">
        <f>'Engagement Summary'!C183-'Engagement Summary'!D183</f>
        <v>1282</v>
      </c>
    </row>
    <row r="184" spans="1:2">
      <c r="A184" s="151">
        <v>10681</v>
      </c>
      <c r="B184" s="126">
        <f>'Engagement Summary'!C184-'Engagement Summary'!D184</f>
        <v>1387</v>
      </c>
    </row>
    <row r="185" spans="1:2">
      <c r="A185" s="151">
        <v>5413</v>
      </c>
      <c r="B185" s="126">
        <f>'Engagement Summary'!C185-'Engagement Summary'!D185</f>
        <v>667</v>
      </c>
    </row>
    <row r="186" spans="1:2">
      <c r="A186" s="151">
        <v>25058</v>
      </c>
      <c r="B186" s="126">
        <f>'Engagement Summary'!C186-'Engagement Summary'!D186</f>
        <v>499</v>
      </c>
    </row>
    <row r="187" spans="1:2">
      <c r="A187" s="151">
        <v>18303</v>
      </c>
      <c r="B187" s="126">
        <f>'Engagement Summary'!C187-'Engagement Summary'!D187</f>
        <v>523</v>
      </c>
    </row>
    <row r="188" spans="1:2">
      <c r="A188" s="151">
        <v>5526</v>
      </c>
      <c r="B188" s="126">
        <f>'Engagement Summary'!C188-'Engagement Summary'!D188</f>
        <v>896</v>
      </c>
    </row>
    <row r="189" spans="1:2">
      <c r="A189" s="151">
        <v>17460</v>
      </c>
      <c r="B189" s="126">
        <f>'Engagement Summary'!C189-'Engagement Summary'!D189</f>
        <v>702</v>
      </c>
    </row>
    <row r="190" spans="1:2">
      <c r="A190" s="151">
        <v>14475</v>
      </c>
      <c r="B190" s="126">
        <f>'Engagement Summary'!C190-'Engagement Summary'!D190</f>
        <v>749</v>
      </c>
    </row>
    <row r="191" spans="1:2">
      <c r="A191" s="151">
        <v>20162</v>
      </c>
      <c r="B191" s="126">
        <f>'Engagement Summary'!C191-'Engagement Summary'!D191</f>
        <v>333</v>
      </c>
    </row>
    <row r="192" spans="1:2">
      <c r="A192" s="151">
        <v>17103</v>
      </c>
      <c r="B192" s="126">
        <f>'Engagement Summary'!C192-'Engagement Summary'!D192</f>
        <v>647</v>
      </c>
    </row>
    <row r="193" spans="1:2">
      <c r="A193" s="151">
        <v>15461</v>
      </c>
      <c r="B193" s="126">
        <f>'Engagement Summary'!C193-'Engagement Summary'!D193</f>
        <v>839</v>
      </c>
    </row>
    <row r="194" spans="1:2">
      <c r="A194" s="151">
        <v>22103</v>
      </c>
      <c r="B194" s="126">
        <f>'Engagement Summary'!C194-'Engagement Summary'!D194</f>
        <v>960</v>
      </c>
    </row>
    <row r="195" spans="1:2">
      <c r="A195" s="151">
        <v>11625</v>
      </c>
      <c r="B195" s="126">
        <f>'Engagement Summary'!C195-'Engagement Summary'!D195</f>
        <v>1168</v>
      </c>
    </row>
    <row r="196" spans="1:2">
      <c r="A196" s="151">
        <v>5281</v>
      </c>
      <c r="B196" s="126">
        <f>'Engagement Summary'!C196-'Engagement Summary'!D196</f>
        <v>518</v>
      </c>
    </row>
    <row r="197" spans="1:2">
      <c r="A197" s="151">
        <v>13424</v>
      </c>
      <c r="B197" s="126">
        <f>'Engagement Summary'!C197-'Engagement Summary'!D197</f>
        <v>872</v>
      </c>
    </row>
    <row r="198" spans="1:2">
      <c r="A198" s="151">
        <v>13140</v>
      </c>
      <c r="B198" s="126">
        <f>'Engagement Summary'!C198-'Engagement Summary'!D198</f>
        <v>302</v>
      </c>
    </row>
    <row r="199" spans="1:2">
      <c r="A199" s="151">
        <v>19538</v>
      </c>
      <c r="B199" s="126">
        <f>'Engagement Summary'!C199-'Engagement Summary'!D199</f>
        <v>250</v>
      </c>
    </row>
    <row r="200" spans="1:2">
      <c r="A200" s="151">
        <v>7881</v>
      </c>
      <c r="B200" s="126">
        <f>'Engagement Summary'!C200-'Engagement Summary'!D200</f>
        <v>820</v>
      </c>
    </row>
    <row r="201" spans="1:2">
      <c r="A201" s="151">
        <v>11418</v>
      </c>
      <c r="B201" s="126">
        <f>'Engagement Summary'!C201-'Engagement Summary'!D201</f>
        <v>616</v>
      </c>
    </row>
    <row r="202" spans="1:2">
      <c r="B202" s="126"/>
    </row>
  </sheetData>
  <mergeCells count="6">
    <mergeCell ref="J18:K20"/>
    <mergeCell ref="Y25:AD27"/>
    <mergeCell ref="E7:F9"/>
    <mergeCell ref="M19:R21"/>
    <mergeCell ref="E3:E4"/>
    <mergeCell ref="F3:F4"/>
  </mergeCells>
  <phoneticPr fontId="24" type="noConversion"/>
  <pageMargins left="0.7" right="0.7" top="0.75" bottom="0.75" header="0.3" footer="0.3"/>
  <ignoredErrors>
    <ignoredError sqref="K3" formula="1"/>
  </ignoredError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B4BD-256A-463F-9A07-CEA30CEBDCE4}">
  <dimension ref="A1:C21"/>
  <sheetViews>
    <sheetView tabSelected="1" topLeftCell="A10" workbookViewId="0">
      <selection activeCell="E18" sqref="E18"/>
    </sheetView>
  </sheetViews>
  <sheetFormatPr defaultRowHeight="14.4"/>
  <cols>
    <col min="1" max="1" width="3.6640625" customWidth="1"/>
    <col min="2" max="2" width="99.33203125" customWidth="1"/>
    <col min="3" max="3" width="19.33203125" customWidth="1"/>
  </cols>
  <sheetData>
    <row r="1" spans="1:3">
      <c r="B1" s="183" t="s">
        <v>480</v>
      </c>
    </row>
    <row r="2" spans="1:3" ht="28.8">
      <c r="A2">
        <v>1</v>
      </c>
      <c r="B2" s="184" t="s">
        <v>489</v>
      </c>
    </row>
    <row r="3" spans="1:3" ht="43.2">
      <c r="A3">
        <v>2</v>
      </c>
      <c r="B3" s="184" t="s">
        <v>490</v>
      </c>
    </row>
    <row r="4" spans="1:3" ht="43.2">
      <c r="A4">
        <v>3</v>
      </c>
      <c r="B4" s="197" t="s">
        <v>491</v>
      </c>
      <c r="C4" s="182"/>
    </row>
    <row r="5" spans="1:3">
      <c r="B5" s="181"/>
    </row>
    <row r="6" spans="1:3">
      <c r="B6" s="183" t="s">
        <v>481</v>
      </c>
    </row>
    <row r="7" spans="1:3" ht="28.8">
      <c r="A7">
        <v>4</v>
      </c>
      <c r="B7" s="185" t="s">
        <v>492</v>
      </c>
    </row>
    <row r="8" spans="1:3">
      <c r="A8">
        <v>5</v>
      </c>
      <c r="B8" s="185" t="s">
        <v>493</v>
      </c>
    </row>
    <row r="9" spans="1:3">
      <c r="A9">
        <v>6</v>
      </c>
      <c r="B9" s="185" t="s">
        <v>494</v>
      </c>
    </row>
    <row r="10" spans="1:3">
      <c r="B10" s="181"/>
    </row>
    <row r="11" spans="1:3">
      <c r="B11" s="183" t="s">
        <v>482</v>
      </c>
    </row>
    <row r="12" spans="1:3">
      <c r="A12">
        <v>7</v>
      </c>
      <c r="B12" s="184" t="s">
        <v>483</v>
      </c>
    </row>
    <row r="13" spans="1:3" ht="28.8">
      <c r="A13">
        <v>8</v>
      </c>
      <c r="B13" s="184" t="s">
        <v>484</v>
      </c>
    </row>
    <row r="14" spans="1:3">
      <c r="A14">
        <v>9</v>
      </c>
      <c r="B14" s="184" t="s">
        <v>485</v>
      </c>
    </row>
    <row r="15" spans="1:3" ht="28.8">
      <c r="A15">
        <v>10</v>
      </c>
      <c r="B15" s="184" t="s">
        <v>486</v>
      </c>
    </row>
    <row r="16" spans="1:3">
      <c r="B16" s="181"/>
    </row>
    <row r="17" spans="1:3">
      <c r="B17" s="183" t="s">
        <v>487</v>
      </c>
    </row>
    <row r="18" spans="1:3" ht="43.2">
      <c r="A18">
        <v>11</v>
      </c>
      <c r="B18" s="184" t="s">
        <v>488</v>
      </c>
    </row>
    <row r="20" spans="1:3">
      <c r="B20" s="51" t="s">
        <v>497</v>
      </c>
      <c r="C20" s="51" t="s">
        <v>498</v>
      </c>
    </row>
    <row r="21" spans="1:3">
      <c r="B21" s="238" t="s">
        <v>499</v>
      </c>
      <c r="C21" s="51" t="s">
        <v>500</v>
      </c>
    </row>
  </sheetData>
  <hyperlinks>
    <hyperlink ref="B21" r:id="rId1" xr:uid="{D252AAE1-B818-4EDF-B56A-CCBE93123F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Posts</vt:lpstr>
      <vt:lpstr>Engagement Summary</vt:lpstr>
      <vt:lpstr>Campaign Metadata</vt:lpstr>
      <vt:lpstr>Engagement Analysis</vt:lpstr>
      <vt:lpstr>Platform Performance Analysis</vt:lpstr>
      <vt:lpstr> Hashtag &amp; Content Strategy </vt:lpstr>
      <vt:lpstr>Campaign Effectiveness </vt:lpstr>
      <vt:lpstr>Follower Retention &amp; Loyalty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Koli</dc:creator>
  <cp:lastModifiedBy>Ankita Koli</cp:lastModifiedBy>
  <dcterms:created xsi:type="dcterms:W3CDTF">2025-09-08T04:17:33Z</dcterms:created>
  <dcterms:modified xsi:type="dcterms:W3CDTF">2025-09-14T11:43:17Z</dcterms:modified>
</cp:coreProperties>
</file>